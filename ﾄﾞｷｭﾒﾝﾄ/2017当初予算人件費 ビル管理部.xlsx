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900" windowHeight="12825"/>
  </bookViews>
  <sheets>
    <sheet name="部集計" sheetId="1" r:id="rId1"/>
    <sheet name="明細" sheetId="5" r:id="rId2"/>
  </sheets>
  <calcPr calcId="145621"/>
</workbook>
</file>

<file path=xl/calcChain.xml><?xml version="1.0" encoding="utf-8"?>
<calcChain xmlns="http://schemas.openxmlformats.org/spreadsheetml/2006/main">
  <c r="C70" i="1" l="1"/>
  <c r="C30" i="1"/>
  <c r="C48" i="1"/>
  <c r="C13" i="1"/>
  <c r="C21" i="1"/>
  <c r="C19" i="1"/>
  <c r="C10" i="1"/>
  <c r="C17" i="1"/>
  <c r="C8" i="1"/>
  <c r="C16" i="1"/>
  <c r="C7" i="1"/>
  <c r="C15" i="1"/>
  <c r="C6" i="1"/>
  <c r="C14" i="1"/>
  <c r="C5" i="1"/>
  <c r="C4" i="1"/>
  <c r="C12" i="1"/>
  <c r="CH51" i="5"/>
  <c r="CG51" i="5"/>
  <c r="CF51" i="5"/>
  <c r="CE51" i="5"/>
  <c r="CD51" i="5"/>
  <c r="CC51" i="5"/>
  <c r="CB51" i="5"/>
  <c r="CA51" i="5"/>
  <c r="BZ51" i="5"/>
  <c r="BY51" i="5"/>
  <c r="BX51" i="5"/>
  <c r="BW51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CH47" i="5"/>
  <c r="CG47" i="5"/>
  <c r="CF47" i="5"/>
  <c r="CE47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C3" i="1" s="1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E3" i="1" l="1"/>
  <c r="D3" i="1"/>
  <c r="I79" i="1" l="1"/>
  <c r="I80" i="1" s="1"/>
  <c r="O78" i="1"/>
  <c r="O80" i="1" s="1"/>
  <c r="N78" i="1"/>
  <c r="N80" i="1" s="1"/>
  <c r="M78" i="1"/>
  <c r="M80" i="1" s="1"/>
  <c r="L78" i="1"/>
  <c r="L80" i="1" s="1"/>
  <c r="K78" i="1"/>
  <c r="K80" i="1" s="1"/>
  <c r="J78" i="1"/>
  <c r="J80" i="1" s="1"/>
  <c r="H78" i="1"/>
  <c r="H80" i="1" s="1"/>
  <c r="G78" i="1"/>
  <c r="G80" i="1" s="1"/>
  <c r="F78" i="1"/>
  <c r="F80" i="1" s="1"/>
  <c r="E78" i="1"/>
  <c r="E80" i="1" s="1"/>
  <c r="D78" i="1"/>
  <c r="D80" i="1" s="1"/>
  <c r="C78" i="1"/>
  <c r="I78" i="1" s="1"/>
  <c r="P77" i="1"/>
  <c r="I77" i="1"/>
  <c r="Q77" i="1" s="1"/>
  <c r="P76" i="1"/>
  <c r="I76" i="1"/>
  <c r="Q76" i="1" s="1"/>
  <c r="P75" i="1"/>
  <c r="I75" i="1"/>
  <c r="Q75" i="1" s="1"/>
  <c r="P74" i="1"/>
  <c r="I74" i="1"/>
  <c r="Q74" i="1" s="1"/>
  <c r="P73" i="1"/>
  <c r="I73" i="1"/>
  <c r="Q73" i="1" s="1"/>
  <c r="P72" i="1"/>
  <c r="I72" i="1"/>
  <c r="Q72" i="1" s="1"/>
  <c r="P71" i="1"/>
  <c r="I71" i="1"/>
  <c r="Q71" i="1" s="1"/>
  <c r="P70" i="1"/>
  <c r="P78" i="1" s="1"/>
  <c r="I70" i="1"/>
  <c r="Q70" i="1" s="1"/>
  <c r="K57" i="1"/>
  <c r="K68" i="1" s="1"/>
  <c r="L57" i="1"/>
  <c r="L68" i="1" s="1"/>
  <c r="M57" i="1"/>
  <c r="M68" i="1" s="1"/>
  <c r="N57" i="1"/>
  <c r="N68" i="1" s="1"/>
  <c r="O57" i="1"/>
  <c r="O68" i="1" s="1"/>
  <c r="J57" i="1"/>
  <c r="J68" i="1" s="1"/>
  <c r="D57" i="1"/>
  <c r="E57" i="1"/>
  <c r="F57" i="1"/>
  <c r="G57" i="1"/>
  <c r="H57" i="1"/>
  <c r="K48" i="1"/>
  <c r="L48" i="1"/>
  <c r="M48" i="1"/>
  <c r="N48" i="1"/>
  <c r="O48" i="1"/>
  <c r="K49" i="1"/>
  <c r="L49" i="1"/>
  <c r="M49" i="1"/>
  <c r="N49" i="1"/>
  <c r="O49" i="1"/>
  <c r="K50" i="1"/>
  <c r="L50" i="1"/>
  <c r="M50" i="1"/>
  <c r="N50" i="1"/>
  <c r="O50" i="1"/>
  <c r="K51" i="1"/>
  <c r="L51" i="1"/>
  <c r="M51" i="1"/>
  <c r="N51" i="1"/>
  <c r="O51" i="1"/>
  <c r="K52" i="1"/>
  <c r="L52" i="1"/>
  <c r="M52" i="1"/>
  <c r="N52" i="1"/>
  <c r="O52" i="1"/>
  <c r="K53" i="1"/>
  <c r="L53" i="1"/>
  <c r="M53" i="1"/>
  <c r="N53" i="1"/>
  <c r="O53" i="1"/>
  <c r="K54" i="1"/>
  <c r="L54" i="1"/>
  <c r="M54" i="1"/>
  <c r="N54" i="1"/>
  <c r="O54" i="1"/>
  <c r="K55" i="1"/>
  <c r="L55" i="1"/>
  <c r="M55" i="1"/>
  <c r="N55" i="1"/>
  <c r="O55" i="1"/>
  <c r="J55" i="1"/>
  <c r="J54" i="1"/>
  <c r="J53" i="1"/>
  <c r="J52" i="1"/>
  <c r="J51" i="1"/>
  <c r="J50" i="1"/>
  <c r="J49" i="1"/>
  <c r="J48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C57" i="1"/>
  <c r="C49" i="1"/>
  <c r="I49" i="1" s="1"/>
  <c r="C50" i="1"/>
  <c r="C51" i="1"/>
  <c r="C52" i="1"/>
  <c r="C53" i="1"/>
  <c r="C54" i="1"/>
  <c r="C55" i="1"/>
  <c r="I48" i="1"/>
  <c r="I57" i="1"/>
  <c r="I58" i="1" s="1"/>
  <c r="O56" i="1"/>
  <c r="O58" i="1" s="1"/>
  <c r="M56" i="1"/>
  <c r="M58" i="1" s="1"/>
  <c r="K56" i="1"/>
  <c r="K58" i="1" s="1"/>
  <c r="J56" i="1"/>
  <c r="J58" i="1" s="1"/>
  <c r="H56" i="1"/>
  <c r="H58" i="1" s="1"/>
  <c r="F56" i="1"/>
  <c r="F58" i="1" s="1"/>
  <c r="D56" i="1"/>
  <c r="D58" i="1" s="1"/>
  <c r="P55" i="1"/>
  <c r="P53" i="1"/>
  <c r="P51" i="1"/>
  <c r="I51" i="1"/>
  <c r="I50" i="1"/>
  <c r="P49" i="1"/>
  <c r="K39" i="1"/>
  <c r="K59" i="1" s="1"/>
  <c r="L39" i="1"/>
  <c r="L59" i="1" s="1"/>
  <c r="M39" i="1"/>
  <c r="M59" i="1" s="1"/>
  <c r="N39" i="1"/>
  <c r="N59" i="1" s="1"/>
  <c r="O39" i="1"/>
  <c r="O59" i="1" s="1"/>
  <c r="K40" i="1"/>
  <c r="K60" i="1" s="1"/>
  <c r="L40" i="1"/>
  <c r="L60" i="1" s="1"/>
  <c r="M40" i="1"/>
  <c r="M60" i="1" s="1"/>
  <c r="N40" i="1"/>
  <c r="N60" i="1" s="1"/>
  <c r="O40" i="1"/>
  <c r="O60" i="1" s="1"/>
  <c r="K61" i="1"/>
  <c r="L61" i="1"/>
  <c r="M61" i="1"/>
  <c r="N61" i="1"/>
  <c r="O61" i="1"/>
  <c r="K41" i="1"/>
  <c r="K62" i="1" s="1"/>
  <c r="L41" i="1"/>
  <c r="L62" i="1" s="1"/>
  <c r="M41" i="1"/>
  <c r="M62" i="1" s="1"/>
  <c r="N41" i="1"/>
  <c r="N62" i="1" s="1"/>
  <c r="O41" i="1"/>
  <c r="O62" i="1" s="1"/>
  <c r="K63" i="1"/>
  <c r="L63" i="1"/>
  <c r="M63" i="1"/>
  <c r="N63" i="1"/>
  <c r="O63" i="1"/>
  <c r="K42" i="1"/>
  <c r="K64" i="1" s="1"/>
  <c r="L42" i="1"/>
  <c r="L64" i="1" s="1"/>
  <c r="M42" i="1"/>
  <c r="M64" i="1" s="1"/>
  <c r="N42" i="1"/>
  <c r="N64" i="1" s="1"/>
  <c r="O42" i="1"/>
  <c r="O64" i="1" s="1"/>
  <c r="K43" i="1"/>
  <c r="K65" i="1" s="1"/>
  <c r="L43" i="1"/>
  <c r="L65" i="1" s="1"/>
  <c r="M43" i="1"/>
  <c r="M65" i="1" s="1"/>
  <c r="N43" i="1"/>
  <c r="N65" i="1" s="1"/>
  <c r="O43" i="1"/>
  <c r="O65" i="1" s="1"/>
  <c r="K44" i="1"/>
  <c r="K66" i="1" s="1"/>
  <c r="L44" i="1"/>
  <c r="L66" i="1" s="1"/>
  <c r="M44" i="1"/>
  <c r="M66" i="1" s="1"/>
  <c r="N44" i="1"/>
  <c r="N66" i="1" s="1"/>
  <c r="O44" i="1"/>
  <c r="O66" i="1" s="1"/>
  <c r="J44" i="1"/>
  <c r="J66" i="1" s="1"/>
  <c r="P66" i="1" s="1"/>
  <c r="J43" i="1"/>
  <c r="J65" i="1" s="1"/>
  <c r="P65" i="1" s="1"/>
  <c r="J42" i="1"/>
  <c r="J64" i="1" s="1"/>
  <c r="P64" i="1" s="1"/>
  <c r="J63" i="1"/>
  <c r="P63" i="1" s="1"/>
  <c r="J41" i="1"/>
  <c r="J62" i="1" s="1"/>
  <c r="P62" i="1" s="1"/>
  <c r="J61" i="1"/>
  <c r="P61" i="1" s="1"/>
  <c r="J40" i="1"/>
  <c r="J60" i="1" s="1"/>
  <c r="P60" i="1" s="1"/>
  <c r="J39" i="1"/>
  <c r="D46" i="1"/>
  <c r="D68" i="1" s="1"/>
  <c r="E46" i="1"/>
  <c r="E68" i="1" s="1"/>
  <c r="F46" i="1"/>
  <c r="F68" i="1" s="1"/>
  <c r="G46" i="1"/>
  <c r="G68" i="1" s="1"/>
  <c r="H46" i="1"/>
  <c r="H68" i="1" s="1"/>
  <c r="D39" i="1"/>
  <c r="D59" i="1" s="1"/>
  <c r="E39" i="1"/>
  <c r="E59" i="1" s="1"/>
  <c r="F39" i="1"/>
  <c r="F59" i="1" s="1"/>
  <c r="G39" i="1"/>
  <c r="G59" i="1" s="1"/>
  <c r="H39" i="1"/>
  <c r="H59" i="1" s="1"/>
  <c r="D40" i="1"/>
  <c r="D60" i="1" s="1"/>
  <c r="E40" i="1"/>
  <c r="E60" i="1" s="1"/>
  <c r="F40" i="1"/>
  <c r="F60" i="1" s="1"/>
  <c r="G40" i="1"/>
  <c r="G60" i="1" s="1"/>
  <c r="H40" i="1"/>
  <c r="H60" i="1" s="1"/>
  <c r="D61" i="1"/>
  <c r="E61" i="1"/>
  <c r="F61" i="1"/>
  <c r="G61" i="1"/>
  <c r="H61" i="1"/>
  <c r="D41" i="1"/>
  <c r="D62" i="1" s="1"/>
  <c r="E41" i="1"/>
  <c r="E62" i="1" s="1"/>
  <c r="F41" i="1"/>
  <c r="F62" i="1" s="1"/>
  <c r="G41" i="1"/>
  <c r="G62" i="1" s="1"/>
  <c r="H41" i="1"/>
  <c r="H62" i="1" s="1"/>
  <c r="D63" i="1"/>
  <c r="E63" i="1"/>
  <c r="F63" i="1"/>
  <c r="G63" i="1"/>
  <c r="H63" i="1"/>
  <c r="D42" i="1"/>
  <c r="D64" i="1" s="1"/>
  <c r="E42" i="1"/>
  <c r="E64" i="1" s="1"/>
  <c r="F42" i="1"/>
  <c r="F64" i="1" s="1"/>
  <c r="G42" i="1"/>
  <c r="G64" i="1" s="1"/>
  <c r="H42" i="1"/>
  <c r="H64" i="1" s="1"/>
  <c r="D43" i="1"/>
  <c r="D65" i="1" s="1"/>
  <c r="E43" i="1"/>
  <c r="E65" i="1" s="1"/>
  <c r="F43" i="1"/>
  <c r="F65" i="1" s="1"/>
  <c r="G43" i="1"/>
  <c r="G65" i="1" s="1"/>
  <c r="H43" i="1"/>
  <c r="H65" i="1" s="1"/>
  <c r="D44" i="1"/>
  <c r="D66" i="1" s="1"/>
  <c r="E44" i="1"/>
  <c r="E66" i="1" s="1"/>
  <c r="F44" i="1"/>
  <c r="F66" i="1" s="1"/>
  <c r="G44" i="1"/>
  <c r="G66" i="1" s="1"/>
  <c r="H44" i="1"/>
  <c r="H66" i="1" s="1"/>
  <c r="C46" i="1"/>
  <c r="C68" i="1" s="1"/>
  <c r="I68" i="1" s="1"/>
  <c r="I69" i="1" s="1"/>
  <c r="C40" i="1"/>
  <c r="C60" i="1" s="1"/>
  <c r="C61" i="1"/>
  <c r="C41" i="1"/>
  <c r="C62" i="1" s="1"/>
  <c r="C63" i="1"/>
  <c r="C42" i="1"/>
  <c r="C64" i="1" s="1"/>
  <c r="C43" i="1"/>
  <c r="C65" i="1" s="1"/>
  <c r="C44" i="1"/>
  <c r="C66" i="1" s="1"/>
  <c r="C39" i="1"/>
  <c r="N45" i="1"/>
  <c r="N47" i="1" s="1"/>
  <c r="L45" i="1"/>
  <c r="L47" i="1" s="1"/>
  <c r="G45" i="1"/>
  <c r="G47" i="1" s="1"/>
  <c r="E45" i="1"/>
  <c r="E47" i="1" s="1"/>
  <c r="P44" i="1"/>
  <c r="I43" i="1"/>
  <c r="P42" i="1"/>
  <c r="P41" i="1"/>
  <c r="P40" i="1"/>
  <c r="I37" i="1"/>
  <c r="I38" i="1" s="1"/>
  <c r="O36" i="1"/>
  <c r="O38" i="1" s="1"/>
  <c r="N36" i="1"/>
  <c r="N38" i="1" s="1"/>
  <c r="M36" i="1"/>
  <c r="M38" i="1" s="1"/>
  <c r="L36" i="1"/>
  <c r="L38" i="1" s="1"/>
  <c r="K36" i="1"/>
  <c r="K38" i="1" s="1"/>
  <c r="J36" i="1"/>
  <c r="J38" i="1" s="1"/>
  <c r="H36" i="1"/>
  <c r="H38" i="1" s="1"/>
  <c r="G36" i="1"/>
  <c r="G38" i="1" s="1"/>
  <c r="F36" i="1"/>
  <c r="F38" i="1" s="1"/>
  <c r="E36" i="1"/>
  <c r="E38" i="1" s="1"/>
  <c r="D36" i="1"/>
  <c r="D38" i="1" s="1"/>
  <c r="C36" i="1"/>
  <c r="P35" i="1"/>
  <c r="I35" i="1"/>
  <c r="P34" i="1"/>
  <c r="I34" i="1"/>
  <c r="P33" i="1"/>
  <c r="I33" i="1"/>
  <c r="Q33" i="1" s="1"/>
  <c r="P32" i="1"/>
  <c r="I32" i="1"/>
  <c r="Q32" i="1" s="1"/>
  <c r="P31" i="1"/>
  <c r="I31" i="1"/>
  <c r="Q31" i="1" s="1"/>
  <c r="P30" i="1"/>
  <c r="P36" i="1" s="1"/>
  <c r="I30" i="1"/>
  <c r="Q30" i="1" s="1"/>
  <c r="I28" i="1"/>
  <c r="I29" i="1" s="1"/>
  <c r="O27" i="1"/>
  <c r="O29" i="1" s="1"/>
  <c r="N27" i="1"/>
  <c r="N29" i="1" s="1"/>
  <c r="M27" i="1"/>
  <c r="M29" i="1" s="1"/>
  <c r="L27" i="1"/>
  <c r="L29" i="1" s="1"/>
  <c r="K27" i="1"/>
  <c r="K29" i="1" s="1"/>
  <c r="J27" i="1"/>
  <c r="J29" i="1" s="1"/>
  <c r="H27" i="1"/>
  <c r="H29" i="1" s="1"/>
  <c r="G27" i="1"/>
  <c r="G29" i="1" s="1"/>
  <c r="F27" i="1"/>
  <c r="F29" i="1" s="1"/>
  <c r="E27" i="1"/>
  <c r="E29" i="1" s="1"/>
  <c r="D27" i="1"/>
  <c r="D29" i="1" s="1"/>
  <c r="C27" i="1"/>
  <c r="C29" i="1" s="1"/>
  <c r="P26" i="1"/>
  <c r="I26" i="1"/>
  <c r="P25" i="1"/>
  <c r="I25" i="1"/>
  <c r="P24" i="1"/>
  <c r="I24" i="1"/>
  <c r="P23" i="1"/>
  <c r="I23" i="1"/>
  <c r="P22" i="1"/>
  <c r="I22" i="1"/>
  <c r="P21" i="1"/>
  <c r="P27" i="1" s="1"/>
  <c r="I21" i="1"/>
  <c r="P13" i="1"/>
  <c r="P14" i="1"/>
  <c r="P15" i="1"/>
  <c r="P16" i="1"/>
  <c r="P17" i="1"/>
  <c r="P12" i="1"/>
  <c r="I13" i="1"/>
  <c r="I61" i="1"/>
  <c r="I14" i="1"/>
  <c r="I15" i="1"/>
  <c r="I16" i="1"/>
  <c r="I17" i="1"/>
  <c r="I12" i="1"/>
  <c r="Q12" i="1" s="1"/>
  <c r="J18" i="1"/>
  <c r="J20" i="1" s="1"/>
  <c r="J9" i="1"/>
  <c r="J11" i="1" s="1"/>
  <c r="I19" i="1"/>
  <c r="I20" i="1" s="1"/>
  <c r="P18" i="1"/>
  <c r="P19" i="1" s="1"/>
  <c r="O18" i="1"/>
  <c r="O20" i="1" s="1"/>
  <c r="N18" i="1"/>
  <c r="N20" i="1" s="1"/>
  <c r="M18" i="1"/>
  <c r="M20" i="1" s="1"/>
  <c r="L18" i="1"/>
  <c r="L20" i="1" s="1"/>
  <c r="K18" i="1"/>
  <c r="K20" i="1" s="1"/>
  <c r="H18" i="1"/>
  <c r="H20" i="1" s="1"/>
  <c r="G18" i="1"/>
  <c r="G20" i="1" s="1"/>
  <c r="F18" i="1"/>
  <c r="F20" i="1" s="1"/>
  <c r="E18" i="1"/>
  <c r="E20" i="1" s="1"/>
  <c r="D18" i="1"/>
  <c r="D20" i="1" s="1"/>
  <c r="C18" i="1"/>
  <c r="C20" i="1" s="1"/>
  <c r="P4" i="1"/>
  <c r="P5" i="1"/>
  <c r="P6" i="1"/>
  <c r="P7" i="1"/>
  <c r="P8" i="1"/>
  <c r="P3" i="1"/>
  <c r="O9" i="1"/>
  <c r="O11" i="1" s="1"/>
  <c r="N9" i="1"/>
  <c r="N11" i="1" s="1"/>
  <c r="M9" i="1"/>
  <c r="M11" i="1" s="1"/>
  <c r="L9" i="1"/>
  <c r="L11" i="1" s="1"/>
  <c r="K9" i="1"/>
  <c r="K11" i="1" s="1"/>
  <c r="I10" i="1"/>
  <c r="I11" i="1" s="1"/>
  <c r="D9" i="1"/>
  <c r="D11" i="1" s="1"/>
  <c r="E9" i="1"/>
  <c r="E11" i="1" s="1"/>
  <c r="F9" i="1"/>
  <c r="F11" i="1" s="1"/>
  <c r="G9" i="1"/>
  <c r="G11" i="1" s="1"/>
  <c r="H9" i="1"/>
  <c r="H11" i="1" s="1"/>
  <c r="C9" i="1"/>
  <c r="C11" i="1" s="1"/>
  <c r="I4" i="1"/>
  <c r="Q4" i="1" s="1"/>
  <c r="I5" i="1"/>
  <c r="Q5" i="1" s="1"/>
  <c r="I6" i="1"/>
  <c r="Q6" i="1" s="1"/>
  <c r="I7" i="1"/>
  <c r="Q7" i="1" s="1"/>
  <c r="I8" i="1"/>
  <c r="Q8" i="1" s="1"/>
  <c r="I3" i="1"/>
  <c r="Q3" i="1" s="1"/>
  <c r="Q34" i="1" l="1"/>
  <c r="P9" i="1"/>
  <c r="Q35" i="1"/>
  <c r="O67" i="1"/>
  <c r="O69" i="1" s="1"/>
  <c r="M67" i="1"/>
  <c r="M69" i="1" s="1"/>
  <c r="K67" i="1"/>
  <c r="K69" i="1" s="1"/>
  <c r="N67" i="1"/>
  <c r="N69" i="1" s="1"/>
  <c r="L67" i="1"/>
  <c r="L69" i="1" s="1"/>
  <c r="G67" i="1"/>
  <c r="G69" i="1" s="1"/>
  <c r="E67" i="1"/>
  <c r="E69" i="1" s="1"/>
  <c r="H67" i="1"/>
  <c r="H69" i="1" s="1"/>
  <c r="F67" i="1"/>
  <c r="F69" i="1" s="1"/>
  <c r="D67" i="1"/>
  <c r="D69" i="1" s="1"/>
  <c r="I36" i="1"/>
  <c r="C38" i="1"/>
  <c r="J45" i="1"/>
  <c r="J47" i="1" s="1"/>
  <c r="J59" i="1"/>
  <c r="J67" i="1" s="1"/>
  <c r="J69" i="1" s="1"/>
  <c r="Q21" i="1"/>
  <c r="C80" i="1"/>
  <c r="C59" i="1"/>
  <c r="C67" i="1" s="1"/>
  <c r="C69" i="1" s="1"/>
  <c r="I39" i="1"/>
  <c r="I59" i="1" s="1"/>
  <c r="P79" i="1"/>
  <c r="Q78" i="1"/>
  <c r="Q61" i="1"/>
  <c r="Q16" i="1"/>
  <c r="Q22" i="1"/>
  <c r="Q23" i="1"/>
  <c r="Q24" i="1"/>
  <c r="Q25" i="1"/>
  <c r="Q26" i="1"/>
  <c r="I27" i="1"/>
  <c r="C45" i="1"/>
  <c r="C47" i="1" s="1"/>
  <c r="M45" i="1"/>
  <c r="M47" i="1" s="1"/>
  <c r="K45" i="1"/>
  <c r="K47" i="1" s="1"/>
  <c r="O45" i="1"/>
  <c r="O47" i="1" s="1"/>
  <c r="I55" i="1"/>
  <c r="I54" i="1"/>
  <c r="I65" i="1" s="1"/>
  <c r="Q65" i="1" s="1"/>
  <c r="I53" i="1"/>
  <c r="I52" i="1"/>
  <c r="G56" i="1"/>
  <c r="G58" i="1" s="1"/>
  <c r="E56" i="1"/>
  <c r="E58" i="1" s="1"/>
  <c r="P54" i="1"/>
  <c r="P52" i="1"/>
  <c r="N56" i="1"/>
  <c r="N58" i="1" s="1"/>
  <c r="L56" i="1"/>
  <c r="L58" i="1" s="1"/>
  <c r="P10" i="1"/>
  <c r="P11" i="1" s="1"/>
  <c r="F45" i="1"/>
  <c r="F47" i="1" s="1"/>
  <c r="D45" i="1"/>
  <c r="D47" i="1" s="1"/>
  <c r="H45" i="1"/>
  <c r="H47" i="1" s="1"/>
  <c r="Q49" i="1"/>
  <c r="P59" i="1"/>
  <c r="P67" i="1" s="1"/>
  <c r="P68" i="1" s="1"/>
  <c r="C56" i="1"/>
  <c r="Q51" i="1"/>
  <c r="P48" i="1"/>
  <c r="P50" i="1"/>
  <c r="Q48" i="1"/>
  <c r="Q50" i="1"/>
  <c r="Q55" i="1"/>
  <c r="Q53" i="1"/>
  <c r="P43" i="1"/>
  <c r="Q43" i="1" s="1"/>
  <c r="P39" i="1"/>
  <c r="I46" i="1"/>
  <c r="I47" i="1" s="1"/>
  <c r="I63" i="1"/>
  <c r="Q63" i="1" s="1"/>
  <c r="I44" i="1"/>
  <c r="Q44" i="1" s="1"/>
  <c r="I42" i="1"/>
  <c r="Q42" i="1" s="1"/>
  <c r="I41" i="1"/>
  <c r="Q41" i="1" s="1"/>
  <c r="I40" i="1"/>
  <c r="Q40" i="1" s="1"/>
  <c r="I9" i="1"/>
  <c r="I18" i="1"/>
  <c r="Q17" i="1"/>
  <c r="Q15" i="1"/>
  <c r="Q14" i="1"/>
  <c r="Q13" i="1"/>
  <c r="P37" i="1"/>
  <c r="Q36" i="1"/>
  <c r="P28" i="1"/>
  <c r="Q27" i="1"/>
  <c r="Q18" i="1"/>
  <c r="Q19" i="1"/>
  <c r="Q20" i="1" s="1"/>
  <c r="P20" i="1"/>
  <c r="Q9" i="1"/>
  <c r="Q52" i="1" l="1"/>
  <c r="Q54" i="1"/>
  <c r="P45" i="1"/>
  <c r="P46" i="1" s="1"/>
  <c r="I56" i="1"/>
  <c r="C58" i="1"/>
  <c r="I60" i="1"/>
  <c r="Q60" i="1" s="1"/>
  <c r="I64" i="1"/>
  <c r="Q64" i="1" s="1"/>
  <c r="I66" i="1"/>
  <c r="Q66" i="1" s="1"/>
  <c r="I62" i="1"/>
  <c r="Q62" i="1" s="1"/>
  <c r="I67" i="1"/>
  <c r="I45" i="1"/>
  <c r="P80" i="1"/>
  <c r="Q79" i="1"/>
  <c r="Q80" i="1" s="1"/>
  <c r="Q10" i="1"/>
  <c r="Q11" i="1" s="1"/>
  <c r="P69" i="1"/>
  <c r="Q68" i="1"/>
  <c r="Q69" i="1" s="1"/>
  <c r="Q67" i="1"/>
  <c r="Q59" i="1"/>
  <c r="P56" i="1"/>
  <c r="P57" i="1" s="1"/>
  <c r="Q46" i="1"/>
  <c r="Q47" i="1" s="1"/>
  <c r="P47" i="1"/>
  <c r="Q45" i="1"/>
  <c r="Q39" i="1"/>
  <c r="P38" i="1"/>
  <c r="Q37" i="1"/>
  <c r="Q38" i="1" s="1"/>
  <c r="P29" i="1"/>
  <c r="Q28" i="1"/>
  <c r="Q29" i="1" s="1"/>
  <c r="Q56" i="1" l="1"/>
  <c r="P58" i="1" l="1"/>
  <c r="Q57" i="1"/>
  <c r="Q58" i="1" s="1"/>
</calcChain>
</file>

<file path=xl/sharedStrings.xml><?xml version="1.0" encoding="utf-8"?>
<sst xmlns="http://schemas.openxmlformats.org/spreadsheetml/2006/main" count="482" uniqueCount="154">
  <si>
    <t>４月</t>
    <rPh sb="1" eb="2">
      <t>ガツ</t>
    </rPh>
    <phoneticPr fontId="2"/>
  </si>
  <si>
    <t>５月</t>
    <rPh sb="1" eb="2">
      <t>ガツ</t>
    </rPh>
    <phoneticPr fontId="2"/>
  </si>
  <si>
    <t>６月</t>
    <rPh sb="1" eb="2">
      <t>ガツ</t>
    </rPh>
    <phoneticPr fontId="2"/>
  </si>
  <si>
    <t>７月</t>
    <rPh sb="1" eb="2">
      <t>ガツ</t>
    </rPh>
    <phoneticPr fontId="2"/>
  </si>
  <si>
    <t>８月</t>
    <rPh sb="1" eb="2">
      <t>ガツ</t>
    </rPh>
    <phoneticPr fontId="2"/>
  </si>
  <si>
    <t>９月</t>
    <rPh sb="1" eb="2">
      <t>ガツ</t>
    </rPh>
    <phoneticPr fontId="2"/>
  </si>
  <si>
    <t>上期</t>
    <rPh sb="0" eb="2">
      <t>カミキ</t>
    </rPh>
    <phoneticPr fontId="2"/>
  </si>
  <si>
    <t>１０月</t>
    <rPh sb="2" eb="3">
      <t>ガツ</t>
    </rPh>
    <phoneticPr fontId="2"/>
  </si>
  <si>
    <t>１１月</t>
    <rPh sb="2" eb="3">
      <t>ガツ</t>
    </rPh>
    <phoneticPr fontId="2"/>
  </si>
  <si>
    <t>１２月</t>
    <rPh sb="2" eb="3">
      <t>ガツ</t>
    </rPh>
    <phoneticPr fontId="2"/>
  </si>
  <si>
    <t>１月</t>
    <rPh sb="1" eb="2">
      <t>ガツ</t>
    </rPh>
    <phoneticPr fontId="2"/>
  </si>
  <si>
    <t>２月</t>
    <rPh sb="1" eb="2">
      <t>ガツ</t>
    </rPh>
    <phoneticPr fontId="2"/>
  </si>
  <si>
    <t>３月</t>
    <rPh sb="1" eb="2">
      <t>ガツ</t>
    </rPh>
    <phoneticPr fontId="2"/>
  </si>
  <si>
    <t>下期</t>
    <rPh sb="0" eb="2">
      <t>シモキ</t>
    </rPh>
    <phoneticPr fontId="2"/>
  </si>
  <si>
    <t>合計</t>
    <rPh sb="0" eb="2">
      <t>ゴウケイ</t>
    </rPh>
    <phoneticPr fontId="2"/>
  </si>
  <si>
    <t>業務課</t>
    <rPh sb="0" eb="2">
      <t>ギョウム</t>
    </rPh>
    <rPh sb="2" eb="3">
      <t>カ</t>
    </rPh>
    <phoneticPr fontId="2"/>
  </si>
  <si>
    <t>セキュリティS</t>
    <phoneticPr fontId="2"/>
  </si>
  <si>
    <t>工事課</t>
    <rPh sb="0" eb="2">
      <t>コウジ</t>
    </rPh>
    <rPh sb="2" eb="3">
      <t>カ</t>
    </rPh>
    <phoneticPr fontId="2"/>
  </si>
  <si>
    <t>マンション課</t>
    <rPh sb="5" eb="6">
      <t>カ</t>
    </rPh>
    <phoneticPr fontId="2"/>
  </si>
  <si>
    <t>観葉事業所</t>
    <rPh sb="0" eb="2">
      <t>カンヨウ</t>
    </rPh>
    <rPh sb="2" eb="5">
      <t>ジギョウショ</t>
    </rPh>
    <phoneticPr fontId="2"/>
  </si>
  <si>
    <t>旭川営業所</t>
    <rPh sb="0" eb="2">
      <t>アサヒカワ</t>
    </rPh>
    <rPh sb="2" eb="5">
      <t>エイギョウショ</t>
    </rPh>
    <phoneticPr fontId="2"/>
  </si>
  <si>
    <t>斎場管理課</t>
    <rPh sb="0" eb="2">
      <t>サイジョウ</t>
    </rPh>
    <rPh sb="2" eb="5">
      <t>カンリカ</t>
    </rPh>
    <phoneticPr fontId="2"/>
  </si>
  <si>
    <t>保険課</t>
    <rPh sb="0" eb="2">
      <t>ホケン</t>
    </rPh>
    <rPh sb="2" eb="3">
      <t>カ</t>
    </rPh>
    <phoneticPr fontId="2"/>
  </si>
  <si>
    <t>小計</t>
    <rPh sb="0" eb="2">
      <t>ショウケイ</t>
    </rPh>
    <phoneticPr fontId="2"/>
  </si>
  <si>
    <t>営業費</t>
    <rPh sb="0" eb="3">
      <t>エイギョウヒ</t>
    </rPh>
    <phoneticPr fontId="2"/>
  </si>
  <si>
    <t>職員給与</t>
    <rPh sb="0" eb="2">
      <t>ショクイン</t>
    </rPh>
    <rPh sb="2" eb="4">
      <t>キュウヨ</t>
    </rPh>
    <phoneticPr fontId="2"/>
  </si>
  <si>
    <t>労働保険料</t>
    <rPh sb="0" eb="2">
      <t>ロウドウ</t>
    </rPh>
    <rPh sb="2" eb="5">
      <t>ホケンリョウ</t>
    </rPh>
    <phoneticPr fontId="2"/>
  </si>
  <si>
    <t>社会保険料</t>
    <rPh sb="0" eb="2">
      <t>シャカイ</t>
    </rPh>
    <rPh sb="2" eb="5">
      <t>ホケンリョウ</t>
    </rPh>
    <phoneticPr fontId="2"/>
  </si>
  <si>
    <t>職員賞与</t>
    <rPh sb="0" eb="2">
      <t>ショクイン</t>
    </rPh>
    <rPh sb="2" eb="4">
      <t>ショウヨ</t>
    </rPh>
    <phoneticPr fontId="2"/>
  </si>
  <si>
    <t>法定福利費合計</t>
    <rPh sb="0" eb="2">
      <t>ホウテイ</t>
    </rPh>
    <rPh sb="2" eb="4">
      <t>フクリ</t>
    </rPh>
    <rPh sb="4" eb="5">
      <t>ヒ</t>
    </rPh>
    <rPh sb="5" eb="7">
      <t>ゴウケイ</t>
    </rPh>
    <phoneticPr fontId="2"/>
  </si>
  <si>
    <t>退職金合計</t>
    <rPh sb="0" eb="3">
      <t>タイショクキン</t>
    </rPh>
    <rPh sb="3" eb="5">
      <t>ゴウケイ</t>
    </rPh>
    <phoneticPr fontId="2"/>
  </si>
  <si>
    <t>人件費合計</t>
    <rPh sb="0" eb="3">
      <t>ジンケンヒ</t>
    </rPh>
    <rPh sb="3" eb="5">
      <t>ゴウケイ</t>
    </rPh>
    <phoneticPr fontId="2"/>
  </si>
  <si>
    <t>２９年度ビル管理部人件費予算内訳</t>
    <rPh sb="2" eb="4">
      <t>ネンド</t>
    </rPh>
    <rPh sb="6" eb="8">
      <t>カンリ</t>
    </rPh>
    <rPh sb="8" eb="9">
      <t>ブ</t>
    </rPh>
    <rPh sb="9" eb="12">
      <t>ジンケンヒ</t>
    </rPh>
    <rPh sb="12" eb="14">
      <t>ヨサン</t>
    </rPh>
    <rPh sb="14" eb="16">
      <t>ウチワケ</t>
    </rPh>
    <phoneticPr fontId="2"/>
  </si>
  <si>
    <t>通勤費</t>
    <rPh sb="0" eb="2">
      <t>ツウキン</t>
    </rPh>
    <rPh sb="2" eb="3">
      <t>ヒ</t>
    </rPh>
    <phoneticPr fontId="2"/>
  </si>
  <si>
    <t>退職金</t>
  </si>
  <si>
    <t>通勤費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</si>
  <si>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</si>
  <si>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</si>
  <si>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</si>
  <si>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</si>
  <si>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</si>
  <si>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</si>
  <si>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</si>
  <si>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</si>
  <si>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</si>
  <si>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原価)業務課</t>
    <rPh sb="0" eb="2">
      <t>ゲンカ</t>
    </rPh>
    <rPh sb="3" eb="6">
      <t>ギョウムカ</t>
    </rPh>
    <phoneticPr fontId="2"/>
  </si>
  <si>
    <t>4月</t>
    <rPh sb="1" eb="2">
      <t>ガツ</t>
    </rPh>
    <phoneticPr fontId="4"/>
  </si>
  <si>
    <t>5月</t>
    <rPh sb="1" eb="2">
      <t>ガツ</t>
    </rPh>
    <phoneticPr fontId="4"/>
  </si>
  <si>
    <t>6月</t>
    <rPh sb="1" eb="2">
      <t>ガツ</t>
    </rPh>
    <phoneticPr fontId="4"/>
  </si>
  <si>
    <t>社員コード</t>
  </si>
  <si>
    <t>氏</t>
    <rPh sb="0" eb="1">
      <t>シ</t>
    </rPh>
    <phoneticPr fontId="4"/>
  </si>
  <si>
    <t>名</t>
    <rPh sb="0" eb="1">
      <t>メイ</t>
    </rPh>
    <phoneticPr fontId="4"/>
  </si>
  <si>
    <t>仕訳部門CD</t>
  </si>
  <si>
    <t>部門</t>
    <rPh sb="0" eb="2">
      <t>ブモン</t>
    </rPh>
    <phoneticPr fontId="4"/>
  </si>
  <si>
    <t>仕訳区分CD</t>
  </si>
  <si>
    <t>区分</t>
    <rPh sb="0" eb="2">
      <t>クブン</t>
    </rPh>
    <phoneticPr fontId="4"/>
  </si>
  <si>
    <t>科目CD</t>
  </si>
  <si>
    <t>科目</t>
    <rPh sb="0" eb="2">
      <t>カモク</t>
    </rPh>
    <phoneticPr fontId="4"/>
  </si>
  <si>
    <t>職員給与</t>
  </si>
  <si>
    <t>職員賞与</t>
  </si>
  <si>
    <t>労働保険料</t>
  </si>
  <si>
    <t>社会保険料</t>
  </si>
  <si>
    <t>職員</t>
  </si>
  <si>
    <t>営業費</t>
  </si>
  <si>
    <t>藤井</t>
  </si>
  <si>
    <t>光幸</t>
  </si>
  <si>
    <t>山本</t>
  </si>
  <si>
    <t>渡邉</t>
  </si>
  <si>
    <t>佐々木</t>
  </si>
  <si>
    <t>小林</t>
  </si>
  <si>
    <t>準職員</t>
  </si>
  <si>
    <t>高橋</t>
  </si>
  <si>
    <t>和裕</t>
  </si>
  <si>
    <t>ビル管理部</t>
  </si>
  <si>
    <t>魚谷</t>
  </si>
  <si>
    <t>光昭</t>
  </si>
  <si>
    <t>岡部</t>
  </si>
  <si>
    <t>慎悟</t>
  </si>
  <si>
    <t>寺西</t>
  </si>
  <si>
    <t>淳浩</t>
  </si>
  <si>
    <t>鈴木</t>
  </si>
  <si>
    <t>広美</t>
  </si>
  <si>
    <t>笹木</t>
  </si>
  <si>
    <t>美幸</t>
  </si>
  <si>
    <t>佐藤</t>
  </si>
  <si>
    <t>元彦</t>
  </si>
  <si>
    <t>朋子</t>
  </si>
  <si>
    <t>美奈子</t>
  </si>
  <si>
    <t>早川</t>
  </si>
  <si>
    <t>徹</t>
  </si>
  <si>
    <t>商品原価</t>
  </si>
  <si>
    <t>尾崎</t>
  </si>
  <si>
    <t>康拓</t>
  </si>
  <si>
    <t>業務課</t>
  </si>
  <si>
    <t>半田</t>
  </si>
  <si>
    <t>勝彦</t>
  </si>
  <si>
    <t>弘</t>
  </si>
  <si>
    <t>裕也</t>
  </si>
  <si>
    <t>阿部</t>
  </si>
  <si>
    <t>卓</t>
  </si>
  <si>
    <t>深田</t>
  </si>
  <si>
    <t>泰彦</t>
  </si>
  <si>
    <t>坂本</t>
  </si>
  <si>
    <t>圭人</t>
  </si>
  <si>
    <t>工藤</t>
  </si>
  <si>
    <t>敏晴</t>
  </si>
  <si>
    <t>清水</t>
  </si>
  <si>
    <t>吹雪</t>
  </si>
  <si>
    <t>孝人</t>
  </si>
  <si>
    <t>マンション管理課</t>
  </si>
  <si>
    <t>拓也</t>
  </si>
  <si>
    <t>さつき</t>
  </si>
  <si>
    <t>中島</t>
  </si>
  <si>
    <t>一志</t>
  </si>
  <si>
    <t>冨田</t>
  </si>
  <si>
    <t>晴美</t>
  </si>
  <si>
    <t>保険課</t>
  </si>
  <si>
    <t>川畑</t>
  </si>
  <si>
    <t>諭史</t>
  </si>
  <si>
    <t>工事課</t>
  </si>
  <si>
    <t>松山</t>
  </si>
  <si>
    <t>透</t>
  </si>
  <si>
    <t>伊東</t>
  </si>
  <si>
    <t>一典</t>
  </si>
  <si>
    <t>福地</t>
  </si>
  <si>
    <t>智之</t>
  </si>
  <si>
    <t>熊谷</t>
  </si>
  <si>
    <t>啓治</t>
  </si>
  <si>
    <t>俊介</t>
  </si>
  <si>
    <t>千葉</t>
  </si>
  <si>
    <t>雅仁</t>
  </si>
  <si>
    <t>斎場管理課</t>
  </si>
  <si>
    <t>矢田</t>
  </si>
  <si>
    <t>眞奈美</t>
  </si>
  <si>
    <t>吉泉</t>
  </si>
  <si>
    <t>勉</t>
  </si>
  <si>
    <t>谷口</t>
  </si>
  <si>
    <t>義紀</t>
  </si>
  <si>
    <t>野々村</t>
  </si>
  <si>
    <t>広樹</t>
  </si>
  <si>
    <t>旭川営業所</t>
  </si>
  <si>
    <t>勝山</t>
  </si>
  <si>
    <t>宍戸</t>
  </si>
  <si>
    <t>則友</t>
  </si>
  <si>
    <t>従業員区分
(0:職員
,1:準職員
,2:出向社員)</t>
    <phoneticPr fontId="4"/>
  </si>
  <si>
    <t>役職CD</t>
    <rPh sb="0" eb="2">
      <t>ヤクショク</t>
    </rPh>
    <phoneticPr fontId="4"/>
  </si>
  <si>
    <t>役職</t>
    <rPh sb="0" eb="2">
      <t>ヤクショク</t>
    </rPh>
    <phoneticPr fontId="4"/>
  </si>
  <si>
    <t>取締役</t>
  </si>
  <si>
    <t>課長代理</t>
  </si>
  <si>
    <t>副部長</t>
  </si>
  <si>
    <t>嘱託</t>
  </si>
  <si>
    <t>課長</t>
  </si>
  <si>
    <t>担当課長</t>
  </si>
  <si>
    <t>担当副部長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</si>
</sst>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</borders>
  <cellStyleXfs count="3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righ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2">
      <alignment vertical="center"/>
    </xf>
    <xf numFmtId="0" fontId="1" fillId="0" borderId="0" xfId="2" applyAlignment="1">
      <alignment vertical="center" wrapText="1"/>
    </xf>
    <xf numFmtId="38" fontId="1" fillId="0" borderId="0" xfId="1" applyFont="1">
      <alignment vertical="center"/>
    </xf>
    <xf numFmtId="38" fontId="0" fillId="0" borderId="4" xfId="0" applyNumberFormat="1" applyBorder="1">
      <alignment vertical="center"/>
    </xf>
    <xf numFmtId="38" fontId="0" fillId="0" borderId="5" xfId="0" applyNumberFormat="1" applyBorder="1">
      <alignment vertical="center"/>
    </xf>
    <xf numFmtId="38" fontId="0" fillId="0" borderId="6" xfId="1" applyFont="1" applyBorder="1">
      <alignment vertical="center"/>
    </xf>
    <xf numFmtId="38" fontId="0" fillId="0" borderId="8" xfId="0" applyNumberFormat="1" applyBorder="1">
      <alignment vertical="center"/>
    </xf>
    <xf numFmtId="0" fontId="0" fillId="0" borderId="8" xfId="0" applyBorder="1" applyAlignment="1">
      <alignment vertical="center" textRotation="255" shrinkToFit="1"/>
    </xf>
    <xf numFmtId="0" fontId="0" fillId="0" borderId="5" xfId="0" applyBorder="1" applyAlignment="1">
      <alignment vertical="center" textRotation="255" shrinkToFit="1"/>
    </xf>
    <xf numFmtId="0" fontId="0" fillId="0" borderId="11" xfId="0" applyBorder="1" applyAlignment="1">
      <alignment vertical="center" textRotation="255" shrinkToFit="1"/>
    </xf>
    <xf numFmtId="0" fontId="0" fillId="0" borderId="2" xfId="0" applyBorder="1" applyAlignment="1">
      <alignment vertical="center" textRotation="255" shrinkToFit="1"/>
    </xf>
    <xf numFmtId="0" fontId="0" fillId="0" borderId="3" xfId="0" applyBorder="1" applyAlignment="1">
      <alignment vertical="center" textRotation="255" shrinkToFit="1"/>
    </xf>
    <xf numFmtId="0" fontId="0" fillId="0" borderId="4" xfId="0" applyBorder="1" applyAlignment="1">
      <alignment vertical="center" textRotation="255" shrinkToFit="1"/>
    </xf>
    <xf numFmtId="0" fontId="0" fillId="0" borderId="6" xfId="0" applyBorder="1" applyAlignment="1">
      <alignment vertical="center" textRotation="255" shrinkToFit="1"/>
    </xf>
    <xf numFmtId="0" fontId="0" fillId="0" borderId="7" xfId="0" applyBorder="1" applyAlignment="1">
      <alignment vertical="center" textRotation="255" shrinkToFit="1"/>
    </xf>
    <xf numFmtId="0" fontId="0" fillId="0" borderId="10" xfId="0" applyBorder="1" applyAlignment="1">
      <alignment vertical="center" textRotation="255" shrinkToFit="1"/>
    </xf>
    <xf numFmtId="0" fontId="0" fillId="0" borderId="9" xfId="0" applyBorder="1" applyAlignment="1">
      <alignment vertical="center" textRotation="255" shrinkToFit="1"/>
    </xf>
    <xf numFmtId="0" fontId="1" fillId="0" borderId="0" xfId="2" applyAlignment="1">
      <alignment horizontal="center" vertical="center"/>
    </xf>
  </cellXfs>
  <cellStyles count="3">
    <cellStyle name="桁区切り" xfId="1" builtinId="6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0"/>
  <sheetViews>
    <sheetView tabSelected="1" workbookViewId="0">
      <selection activeCell="C5" sqref="C5"/>
    </sheetView>
  </sheetViews>
  <sheetFormatPr defaultRowHeight="13.5" x14ac:dyDescent="0.15"/>
  <cols>
    <col min="1" max="1" width="4.5" customWidth="1"/>
    <col min="2" max="2" width="12.75" customWidth="1"/>
    <col min="3" max="3" width="10.25" bestFit="1" customWidth="1"/>
  </cols>
  <sheetData>
    <row r="1" spans="1:17" x14ac:dyDescent="0.15">
      <c r="A1" t="s">
        <v>32</v>
      </c>
    </row>
    <row r="2" spans="1:17" x14ac:dyDescent="0.15">
      <c r="A2" s="1"/>
      <c r="B2" s="1"/>
      <c r="C2" s="16" t="s">
        <v>0</v>
      </c>
      <c r="D2" s="16" t="s">
        <v>1</v>
      </c>
      <c r="E2" s="16" t="s">
        <v>2</v>
      </c>
      <c r="F2" s="16" t="s">
        <v>3</v>
      </c>
      <c r="G2" s="16" t="s">
        <v>4</v>
      </c>
      <c r="H2" s="16" t="s">
        <v>5</v>
      </c>
      <c r="I2" s="16" t="s">
        <v>6</v>
      </c>
      <c r="J2" s="16" t="s">
        <v>7</v>
      </c>
      <c r="K2" s="16" t="s">
        <v>8</v>
      </c>
      <c r="L2" s="16" t="s">
        <v>9</v>
      </c>
      <c r="M2" s="16" t="s">
        <v>10</v>
      </c>
      <c r="N2" s="16" t="s">
        <v>11</v>
      </c>
      <c r="O2" s="16" t="s">
        <v>12</v>
      </c>
      <c r="P2" s="16" t="s">
        <v>13</v>
      </c>
      <c r="Q2" s="16" t="s">
        <v>14</v>
      </c>
    </row>
    <row r="3" spans="1:17" x14ac:dyDescent="0.15">
      <c r="A3" s="29" t="s">
        <v>25</v>
      </c>
      <c r="B3" s="6" t="s">
        <v>45</v>
      </c>
      <c r="C3" s="20">
        <f>明細!O25</f>
        <v>2422893</v>
      </c>
      <c r="D3" s="6" t="e">
        <f>#REF!</f>
        <v>#REF!</v>
      </c>
      <c r="E3" s="6" t="e">
        <f>#REF!</f>
        <v>#REF!</v>
      </c>
      <c r="F3" s="6"/>
      <c r="G3" s="6"/>
      <c r="H3" s="6"/>
      <c r="I3" s="6" t="e">
        <f>SUM(C3:H3)</f>
        <v>#REF!</v>
      </c>
      <c r="J3" s="6"/>
      <c r="K3" s="6"/>
      <c r="L3" s="6"/>
      <c r="M3" s="6"/>
      <c r="N3" s="6"/>
      <c r="O3" s="6"/>
      <c r="P3" s="6">
        <f>SUM(J3:O3)</f>
        <v>0</v>
      </c>
      <c r="Q3" s="6" t="e">
        <f>+I3+P3</f>
        <v>#REF!</v>
      </c>
    </row>
    <row r="4" spans="1:17" x14ac:dyDescent="0.15">
      <c r="A4" s="25"/>
      <c r="B4" s="7" t="s">
        <v>18</v>
      </c>
      <c r="C4" s="21">
        <f>明細!O31</f>
        <v>1372737</v>
      </c>
      <c r="D4" s="7"/>
      <c r="E4" s="7"/>
      <c r="F4" s="7"/>
      <c r="G4" s="7"/>
      <c r="H4" s="7"/>
      <c r="I4" s="7">
        <f t="shared" ref="I4:I17" si="0">SUM(C4:H4)</f>
        <v>1372737</v>
      </c>
      <c r="J4" s="7"/>
      <c r="K4" s="7"/>
      <c r="L4" s="7"/>
      <c r="M4" s="7"/>
      <c r="N4" s="7"/>
      <c r="O4" s="7"/>
      <c r="P4" s="7">
        <f t="shared" ref="P4:P8" si="1">SUM(J4:O4)</f>
        <v>0</v>
      </c>
      <c r="Q4" s="7">
        <f t="shared" ref="Q4:Q8" si="2">+I4+P4</f>
        <v>1372737</v>
      </c>
    </row>
    <row r="5" spans="1:17" x14ac:dyDescent="0.15">
      <c r="A5" s="25"/>
      <c r="B5" s="7" t="s">
        <v>17</v>
      </c>
      <c r="C5" s="21">
        <f>明細!O41</f>
        <v>1835999</v>
      </c>
      <c r="D5" s="7"/>
      <c r="E5" s="7"/>
      <c r="F5" s="7"/>
      <c r="G5" s="7"/>
      <c r="H5" s="7"/>
      <c r="I5" s="7">
        <f t="shared" si="0"/>
        <v>1835999</v>
      </c>
      <c r="J5" s="7"/>
      <c r="K5" s="7"/>
      <c r="L5" s="7"/>
      <c r="M5" s="7"/>
      <c r="N5" s="7"/>
      <c r="O5" s="7"/>
      <c r="P5" s="7">
        <f t="shared" si="1"/>
        <v>0</v>
      </c>
      <c r="Q5" s="7">
        <f t="shared" si="2"/>
        <v>1835999</v>
      </c>
    </row>
    <row r="6" spans="1:17" x14ac:dyDescent="0.15">
      <c r="A6" s="25"/>
      <c r="B6" s="7" t="s">
        <v>20</v>
      </c>
      <c r="C6" s="21">
        <f>明細!O51</f>
        <v>947900</v>
      </c>
      <c r="D6" s="7"/>
      <c r="E6" s="7"/>
      <c r="F6" s="7"/>
      <c r="G6" s="7"/>
      <c r="H6" s="7"/>
      <c r="I6" s="7">
        <f t="shared" si="0"/>
        <v>947900</v>
      </c>
      <c r="J6" s="7"/>
      <c r="K6" s="7"/>
      <c r="L6" s="7"/>
      <c r="M6" s="7"/>
      <c r="N6" s="7"/>
      <c r="O6" s="7"/>
      <c r="P6" s="7">
        <f t="shared" si="1"/>
        <v>0</v>
      </c>
      <c r="Q6" s="7">
        <f t="shared" si="2"/>
        <v>947900</v>
      </c>
    </row>
    <row r="7" spans="1:17" x14ac:dyDescent="0.15">
      <c r="A7" s="25"/>
      <c r="B7" s="7" t="s">
        <v>21</v>
      </c>
      <c r="C7" s="21">
        <f>明細!O47</f>
        <v>1125600</v>
      </c>
      <c r="D7" s="7"/>
      <c r="E7" s="7"/>
      <c r="F7" s="7"/>
      <c r="G7" s="7"/>
      <c r="H7" s="7"/>
      <c r="I7" s="7">
        <f t="shared" si="0"/>
        <v>1125600</v>
      </c>
      <c r="J7" s="7"/>
      <c r="K7" s="7"/>
      <c r="L7" s="7"/>
      <c r="M7" s="7"/>
      <c r="N7" s="7"/>
      <c r="O7" s="7"/>
      <c r="P7" s="7">
        <f t="shared" si="1"/>
        <v>0</v>
      </c>
      <c r="Q7" s="7">
        <f t="shared" si="2"/>
        <v>1125600</v>
      </c>
    </row>
    <row r="8" spans="1:17" x14ac:dyDescent="0.15">
      <c r="A8" s="25"/>
      <c r="B8" s="7" t="s">
        <v>22</v>
      </c>
      <c r="C8" s="21">
        <f>明細!O33</f>
        <v>198250</v>
      </c>
      <c r="D8" s="7"/>
      <c r="E8" s="7"/>
      <c r="F8" s="7"/>
      <c r="G8" s="7"/>
      <c r="H8" s="7"/>
      <c r="I8" s="7">
        <f t="shared" si="0"/>
        <v>198250</v>
      </c>
      <c r="J8" s="7"/>
      <c r="K8" s="7"/>
      <c r="L8" s="7"/>
      <c r="M8" s="7"/>
      <c r="N8" s="7"/>
      <c r="O8" s="7"/>
      <c r="P8" s="7">
        <f t="shared" si="1"/>
        <v>0</v>
      </c>
      <c r="Q8" s="7">
        <f t="shared" si="2"/>
        <v>198250</v>
      </c>
    </row>
    <row r="9" spans="1:17" x14ac:dyDescent="0.15">
      <c r="A9" s="25"/>
      <c r="B9" s="8" t="s">
        <v>23</v>
      </c>
      <c r="C9" s="7">
        <f t="shared" ref="C9:H9" si="3">SUM(C3:C8)</f>
        <v>7903379</v>
      </c>
      <c r="D9" s="7" t="e">
        <f t="shared" si="3"/>
        <v>#REF!</v>
      </c>
      <c r="E9" s="7" t="e">
        <f t="shared" si="3"/>
        <v>#REF!</v>
      </c>
      <c r="F9" s="7">
        <f t="shared" si="3"/>
        <v>0</v>
      </c>
      <c r="G9" s="7">
        <f t="shared" si="3"/>
        <v>0</v>
      </c>
      <c r="H9" s="7">
        <f t="shared" si="3"/>
        <v>0</v>
      </c>
      <c r="I9" s="7" t="e">
        <f t="shared" si="0"/>
        <v>#REF!</v>
      </c>
      <c r="J9" s="7">
        <f t="shared" ref="J9:P9" si="4">SUM(J3:J8)</f>
        <v>0</v>
      </c>
      <c r="K9" s="7">
        <f t="shared" si="4"/>
        <v>0</v>
      </c>
      <c r="L9" s="7">
        <f t="shared" si="4"/>
        <v>0</v>
      </c>
      <c r="M9" s="7">
        <f t="shared" si="4"/>
        <v>0</v>
      </c>
      <c r="N9" s="7">
        <f t="shared" si="4"/>
        <v>0</v>
      </c>
      <c r="O9" s="7">
        <f t="shared" si="4"/>
        <v>0</v>
      </c>
      <c r="P9" s="7">
        <f t="shared" si="4"/>
        <v>0</v>
      </c>
      <c r="Q9" s="7">
        <f t="shared" ref="Q9:Q10" si="5">SUM(K9:P9)</f>
        <v>0</v>
      </c>
    </row>
    <row r="10" spans="1:17" x14ac:dyDescent="0.15">
      <c r="A10" s="25"/>
      <c r="B10" s="7" t="s">
        <v>24</v>
      </c>
      <c r="C10" s="21">
        <f>明細!O13</f>
        <v>2854481</v>
      </c>
      <c r="D10" s="7"/>
      <c r="E10" s="7"/>
      <c r="F10" s="7"/>
      <c r="G10" s="7"/>
      <c r="H10" s="7"/>
      <c r="I10" s="7">
        <f t="shared" si="0"/>
        <v>2854481</v>
      </c>
      <c r="J10" s="7"/>
      <c r="K10" s="7"/>
      <c r="L10" s="7"/>
      <c r="M10" s="7"/>
      <c r="N10" s="7"/>
      <c r="O10" s="7"/>
      <c r="P10" s="7">
        <f>SUM(P4:P9)</f>
        <v>0</v>
      </c>
      <c r="Q10" s="7">
        <f t="shared" si="5"/>
        <v>0</v>
      </c>
    </row>
    <row r="11" spans="1:17" x14ac:dyDescent="0.15">
      <c r="A11" s="30"/>
      <c r="B11" s="9" t="s">
        <v>14</v>
      </c>
      <c r="C11" s="22">
        <f>+C9+C10</f>
        <v>10757860</v>
      </c>
      <c r="D11" s="10" t="e">
        <f t="shared" ref="D11:J11" si="6">+D9+D10</f>
        <v>#REF!</v>
      </c>
      <c r="E11" s="10" t="e">
        <f t="shared" si="6"/>
        <v>#REF!</v>
      </c>
      <c r="F11" s="10">
        <f t="shared" si="6"/>
        <v>0</v>
      </c>
      <c r="G11" s="10">
        <f t="shared" si="6"/>
        <v>0</v>
      </c>
      <c r="H11" s="10">
        <f t="shared" si="6"/>
        <v>0</v>
      </c>
      <c r="I11" s="10">
        <f t="shared" ref="I11" si="7">SUM(I10)</f>
        <v>2854481</v>
      </c>
      <c r="J11" s="10">
        <f t="shared" si="6"/>
        <v>0</v>
      </c>
      <c r="K11" s="10">
        <f t="shared" ref="K11" si="8">+K9+K10</f>
        <v>0</v>
      </c>
      <c r="L11" s="10">
        <f t="shared" ref="L11" si="9">+L9+L10</f>
        <v>0</v>
      </c>
      <c r="M11" s="10">
        <f t="shared" ref="M11" si="10">+M9+M10</f>
        <v>0</v>
      </c>
      <c r="N11" s="10">
        <f t="shared" ref="N11" si="11">+N9+N10</f>
        <v>0</v>
      </c>
      <c r="O11" s="10">
        <f t="shared" ref="O11" si="12">+O9+O10</f>
        <v>0</v>
      </c>
      <c r="P11" s="10">
        <f t="shared" ref="P11" si="13">SUM(P10)</f>
        <v>0</v>
      </c>
      <c r="Q11" s="10">
        <f t="shared" ref="Q11" si="14">SUM(Q10)</f>
        <v>0</v>
      </c>
    </row>
    <row r="12" spans="1:17" x14ac:dyDescent="0.15">
      <c r="A12" s="29" t="s">
        <v>28</v>
      </c>
      <c r="B12" s="6" t="s">
        <v>15</v>
      </c>
      <c r="C12" s="20">
        <f>明細!P25</f>
        <v>488831</v>
      </c>
      <c r="D12" s="6"/>
      <c r="E12" s="6"/>
      <c r="F12" s="6"/>
      <c r="G12" s="6"/>
      <c r="H12" s="6"/>
      <c r="I12" s="6">
        <f t="shared" si="0"/>
        <v>488831</v>
      </c>
      <c r="J12" s="6"/>
      <c r="K12" s="6"/>
      <c r="L12" s="6"/>
      <c r="M12" s="6"/>
      <c r="N12" s="6"/>
      <c r="O12" s="6"/>
      <c r="P12" s="6">
        <f t="shared" ref="P12" si="15">SUM(J12:O12)</f>
        <v>0</v>
      </c>
      <c r="Q12" s="6">
        <f t="shared" ref="Q12" si="16">+I12+P12</f>
        <v>488831</v>
      </c>
    </row>
    <row r="13" spans="1:17" x14ac:dyDescent="0.15">
      <c r="A13" s="25"/>
      <c r="B13" s="7" t="s">
        <v>18</v>
      </c>
      <c r="C13" s="21">
        <f>明細!P31</f>
        <v>336164</v>
      </c>
      <c r="D13" s="7"/>
      <c r="E13" s="7"/>
      <c r="F13" s="7"/>
      <c r="G13" s="7"/>
      <c r="H13" s="7"/>
      <c r="I13" s="7">
        <f t="shared" si="0"/>
        <v>336164</v>
      </c>
      <c r="J13" s="7"/>
      <c r="K13" s="7"/>
      <c r="L13" s="7"/>
      <c r="M13" s="7"/>
      <c r="N13" s="7"/>
      <c r="O13" s="7"/>
      <c r="P13" s="7">
        <f t="shared" ref="P13:P17" si="17">SUM(J13:O13)</f>
        <v>0</v>
      </c>
      <c r="Q13" s="7">
        <f t="shared" ref="Q13:Q17" si="18">+I13+P13</f>
        <v>336164</v>
      </c>
    </row>
    <row r="14" spans="1:17" x14ac:dyDescent="0.15">
      <c r="A14" s="25"/>
      <c r="B14" s="7" t="s">
        <v>17</v>
      </c>
      <c r="C14" s="21">
        <f>明細!P41</f>
        <v>393831</v>
      </c>
      <c r="D14" s="7"/>
      <c r="E14" s="7"/>
      <c r="F14" s="7"/>
      <c r="G14" s="7"/>
      <c r="H14" s="7"/>
      <c r="I14" s="7">
        <f t="shared" si="0"/>
        <v>393831</v>
      </c>
      <c r="J14" s="7"/>
      <c r="K14" s="7"/>
      <c r="L14" s="7"/>
      <c r="M14" s="7"/>
      <c r="N14" s="7"/>
      <c r="O14" s="7"/>
      <c r="P14" s="7">
        <f t="shared" si="17"/>
        <v>0</v>
      </c>
      <c r="Q14" s="7">
        <f t="shared" si="18"/>
        <v>393831</v>
      </c>
    </row>
    <row r="15" spans="1:17" x14ac:dyDescent="0.15">
      <c r="A15" s="25"/>
      <c r="B15" s="7" t="s">
        <v>20</v>
      </c>
      <c r="C15" s="21">
        <f>明細!P51</f>
        <v>211999</v>
      </c>
      <c r="D15" s="7"/>
      <c r="E15" s="7"/>
      <c r="F15" s="7"/>
      <c r="G15" s="7"/>
      <c r="H15" s="7"/>
      <c r="I15" s="7">
        <f t="shared" si="0"/>
        <v>211999</v>
      </c>
      <c r="J15" s="7"/>
      <c r="K15" s="7"/>
      <c r="L15" s="7"/>
      <c r="M15" s="7"/>
      <c r="N15" s="7"/>
      <c r="O15" s="7"/>
      <c r="P15" s="7">
        <f t="shared" si="17"/>
        <v>0</v>
      </c>
      <c r="Q15" s="7">
        <f t="shared" si="18"/>
        <v>211999</v>
      </c>
    </row>
    <row r="16" spans="1:17" x14ac:dyDescent="0.15">
      <c r="A16" s="25"/>
      <c r="B16" s="7" t="s">
        <v>21</v>
      </c>
      <c r="C16" s="21">
        <f>明細!P47</f>
        <v>216165</v>
      </c>
      <c r="D16" s="7"/>
      <c r="E16" s="7"/>
      <c r="F16" s="7"/>
      <c r="G16" s="7"/>
      <c r="H16" s="7"/>
      <c r="I16" s="7">
        <f t="shared" si="0"/>
        <v>216165</v>
      </c>
      <c r="J16" s="7"/>
      <c r="K16" s="7"/>
      <c r="L16" s="7"/>
      <c r="M16" s="7"/>
      <c r="N16" s="7"/>
      <c r="O16" s="7"/>
      <c r="P16" s="7">
        <f t="shared" si="17"/>
        <v>0</v>
      </c>
      <c r="Q16" s="7">
        <f t="shared" si="18"/>
        <v>216165</v>
      </c>
    </row>
    <row r="17" spans="1:17" x14ac:dyDescent="0.15">
      <c r="A17" s="25"/>
      <c r="B17" s="7" t="s">
        <v>22</v>
      </c>
      <c r="C17" s="21">
        <f>明細!P33</f>
        <v>56250</v>
      </c>
      <c r="D17" s="7"/>
      <c r="E17" s="7"/>
      <c r="F17" s="7"/>
      <c r="G17" s="7"/>
      <c r="H17" s="7"/>
      <c r="I17" s="7">
        <f t="shared" si="0"/>
        <v>56250</v>
      </c>
      <c r="J17" s="7"/>
      <c r="K17" s="7"/>
      <c r="L17" s="7"/>
      <c r="M17" s="7"/>
      <c r="N17" s="7"/>
      <c r="O17" s="7"/>
      <c r="P17" s="7">
        <f t="shared" si="17"/>
        <v>0</v>
      </c>
      <c r="Q17" s="7">
        <f t="shared" si="18"/>
        <v>56250</v>
      </c>
    </row>
    <row r="18" spans="1:17" x14ac:dyDescent="0.15">
      <c r="A18" s="25"/>
      <c r="B18" s="8" t="s">
        <v>23</v>
      </c>
      <c r="C18" s="7">
        <f t="shared" ref="C18:H18" si="19">SUM(C12:C17)</f>
        <v>1703240</v>
      </c>
      <c r="D18" s="7">
        <f t="shared" si="19"/>
        <v>0</v>
      </c>
      <c r="E18" s="7">
        <f t="shared" si="19"/>
        <v>0</v>
      </c>
      <c r="F18" s="7">
        <f t="shared" si="19"/>
        <v>0</v>
      </c>
      <c r="G18" s="7">
        <f t="shared" si="19"/>
        <v>0</v>
      </c>
      <c r="H18" s="7">
        <f t="shared" si="19"/>
        <v>0</v>
      </c>
      <c r="I18" s="7">
        <f t="shared" ref="I18:I19" si="20">SUM(C18:H18)</f>
        <v>1703240</v>
      </c>
      <c r="J18" s="7">
        <f t="shared" ref="J18:P18" si="21">SUM(J12:J17)</f>
        <v>0</v>
      </c>
      <c r="K18" s="7">
        <f t="shared" si="21"/>
        <v>0</v>
      </c>
      <c r="L18" s="7">
        <f t="shared" si="21"/>
        <v>0</v>
      </c>
      <c r="M18" s="7">
        <f t="shared" si="21"/>
        <v>0</v>
      </c>
      <c r="N18" s="7">
        <f t="shared" si="21"/>
        <v>0</v>
      </c>
      <c r="O18" s="7">
        <f t="shared" si="21"/>
        <v>0</v>
      </c>
      <c r="P18" s="7">
        <f t="shared" si="21"/>
        <v>0</v>
      </c>
      <c r="Q18" s="7">
        <f t="shared" ref="Q18:Q19" si="22">SUM(K18:P18)</f>
        <v>0</v>
      </c>
    </row>
    <row r="19" spans="1:17" x14ac:dyDescent="0.15">
      <c r="A19" s="25"/>
      <c r="B19" s="7" t="s">
        <v>24</v>
      </c>
      <c r="C19" s="21">
        <f>明細!P13</f>
        <v>799081</v>
      </c>
      <c r="D19" s="7"/>
      <c r="E19" s="7"/>
      <c r="F19" s="7"/>
      <c r="G19" s="7"/>
      <c r="H19" s="7"/>
      <c r="I19" s="7">
        <f t="shared" si="20"/>
        <v>799081</v>
      </c>
      <c r="J19" s="7"/>
      <c r="K19" s="7"/>
      <c r="L19" s="7"/>
      <c r="M19" s="7"/>
      <c r="N19" s="7"/>
      <c r="O19" s="7"/>
      <c r="P19" s="7">
        <f>SUM(P13:P18)</f>
        <v>0</v>
      </c>
      <c r="Q19" s="7">
        <f t="shared" si="22"/>
        <v>0</v>
      </c>
    </row>
    <row r="20" spans="1:17" ht="14.25" thickBot="1" x14ac:dyDescent="0.2">
      <c r="A20" s="31"/>
      <c r="B20" s="11" t="s">
        <v>14</v>
      </c>
      <c r="C20" s="12">
        <f>+C18+C19</f>
        <v>2502321</v>
      </c>
      <c r="D20" s="12">
        <f t="shared" ref="D20:J20" si="23">+D18+D19</f>
        <v>0</v>
      </c>
      <c r="E20" s="12">
        <f t="shared" si="23"/>
        <v>0</v>
      </c>
      <c r="F20" s="12">
        <f t="shared" si="23"/>
        <v>0</v>
      </c>
      <c r="G20" s="12">
        <f t="shared" si="23"/>
        <v>0</v>
      </c>
      <c r="H20" s="12">
        <f t="shared" si="23"/>
        <v>0</v>
      </c>
      <c r="I20" s="12">
        <f t="shared" ref="I20" si="24">SUM(I19)</f>
        <v>799081</v>
      </c>
      <c r="J20" s="12">
        <f t="shared" si="23"/>
        <v>0</v>
      </c>
      <c r="K20" s="12">
        <f t="shared" ref="K20" si="25">+K18+K19</f>
        <v>0</v>
      </c>
      <c r="L20" s="12">
        <f t="shared" ref="L20" si="26">+L18+L19</f>
        <v>0</v>
      </c>
      <c r="M20" s="12">
        <f t="shared" ref="M20" si="27">+M18+M19</f>
        <v>0</v>
      </c>
      <c r="N20" s="12">
        <f t="shared" ref="N20" si="28">+N18+N19</f>
        <v>0</v>
      </c>
      <c r="O20" s="12">
        <f t="shared" ref="O20" si="29">+O18+O19</f>
        <v>0</v>
      </c>
      <c r="P20" s="12">
        <f t="shared" ref="P20" si="30">SUM(P19)</f>
        <v>0</v>
      </c>
      <c r="Q20" s="12">
        <f t="shared" ref="Q20" si="31">SUM(Q19)</f>
        <v>0</v>
      </c>
    </row>
    <row r="21" spans="1:17" ht="14.25" thickTop="1" x14ac:dyDescent="0.15">
      <c r="A21" s="24" t="s">
        <v>26</v>
      </c>
      <c r="B21" s="13" t="s">
        <v>15</v>
      </c>
      <c r="C21" s="23">
        <f>明細!Q25</f>
        <v>28143</v>
      </c>
      <c r="D21" s="13"/>
      <c r="E21" s="13"/>
      <c r="F21" s="13"/>
      <c r="G21" s="13"/>
      <c r="H21" s="13"/>
      <c r="I21" s="13">
        <f t="shared" ref="I21:I28" si="32">SUM(C21:H21)</f>
        <v>28143</v>
      </c>
      <c r="J21" s="13"/>
      <c r="K21" s="13"/>
      <c r="L21" s="13"/>
      <c r="M21" s="13"/>
      <c r="N21" s="13"/>
      <c r="O21" s="13"/>
      <c r="P21" s="13">
        <f t="shared" ref="P21:P26" si="33">SUM(J21:O21)</f>
        <v>0</v>
      </c>
      <c r="Q21" s="13">
        <f t="shared" ref="Q21:Q26" si="34">+I21+P21</f>
        <v>28143</v>
      </c>
    </row>
    <row r="22" spans="1:17" x14ac:dyDescent="0.15">
      <c r="A22" s="25"/>
      <c r="B22" s="7" t="s">
        <v>18</v>
      </c>
      <c r="C22" s="7"/>
      <c r="D22" s="7"/>
      <c r="E22" s="7"/>
      <c r="F22" s="7"/>
      <c r="G22" s="7"/>
      <c r="H22" s="7"/>
      <c r="I22" s="7">
        <f t="shared" si="32"/>
        <v>0</v>
      </c>
      <c r="J22" s="7"/>
      <c r="K22" s="7"/>
      <c r="L22" s="7"/>
      <c r="M22" s="7"/>
      <c r="N22" s="7"/>
      <c r="O22" s="7"/>
      <c r="P22" s="7">
        <f t="shared" si="33"/>
        <v>0</v>
      </c>
      <c r="Q22" s="7">
        <f t="shared" si="34"/>
        <v>0</v>
      </c>
    </row>
    <row r="23" spans="1:17" x14ac:dyDescent="0.15">
      <c r="A23" s="25"/>
      <c r="B23" s="7" t="s">
        <v>17</v>
      </c>
      <c r="C23" s="7"/>
      <c r="D23" s="7"/>
      <c r="E23" s="7"/>
      <c r="F23" s="7"/>
      <c r="G23" s="7"/>
      <c r="H23" s="7"/>
      <c r="I23" s="7">
        <f t="shared" si="32"/>
        <v>0</v>
      </c>
      <c r="J23" s="7"/>
      <c r="K23" s="7"/>
      <c r="L23" s="7"/>
      <c r="M23" s="7"/>
      <c r="N23" s="7"/>
      <c r="O23" s="7"/>
      <c r="P23" s="7">
        <f t="shared" si="33"/>
        <v>0</v>
      </c>
      <c r="Q23" s="7">
        <f t="shared" si="34"/>
        <v>0</v>
      </c>
    </row>
    <row r="24" spans="1:17" x14ac:dyDescent="0.15">
      <c r="A24" s="25"/>
      <c r="B24" s="7" t="s">
        <v>20</v>
      </c>
      <c r="C24" s="7"/>
      <c r="D24" s="7"/>
      <c r="E24" s="7"/>
      <c r="F24" s="7"/>
      <c r="G24" s="7"/>
      <c r="H24" s="7"/>
      <c r="I24" s="7">
        <f t="shared" si="32"/>
        <v>0</v>
      </c>
      <c r="J24" s="7"/>
      <c r="K24" s="7"/>
      <c r="L24" s="7"/>
      <c r="M24" s="7"/>
      <c r="N24" s="7"/>
      <c r="O24" s="7"/>
      <c r="P24" s="7">
        <f t="shared" si="33"/>
        <v>0</v>
      </c>
      <c r="Q24" s="7">
        <f t="shared" si="34"/>
        <v>0</v>
      </c>
    </row>
    <row r="25" spans="1:17" x14ac:dyDescent="0.15">
      <c r="A25" s="25"/>
      <c r="B25" s="7" t="s">
        <v>21</v>
      </c>
      <c r="C25" s="7"/>
      <c r="D25" s="7"/>
      <c r="E25" s="7"/>
      <c r="F25" s="7"/>
      <c r="G25" s="7"/>
      <c r="H25" s="7"/>
      <c r="I25" s="7">
        <f t="shared" si="32"/>
        <v>0</v>
      </c>
      <c r="J25" s="7"/>
      <c r="K25" s="7"/>
      <c r="L25" s="7"/>
      <c r="M25" s="7"/>
      <c r="N25" s="7"/>
      <c r="O25" s="7"/>
      <c r="P25" s="7">
        <f t="shared" si="33"/>
        <v>0</v>
      </c>
      <c r="Q25" s="7">
        <f t="shared" si="34"/>
        <v>0</v>
      </c>
    </row>
    <row r="26" spans="1:17" x14ac:dyDescent="0.15">
      <c r="A26" s="25"/>
      <c r="B26" s="7" t="s">
        <v>22</v>
      </c>
      <c r="C26" s="7"/>
      <c r="D26" s="7"/>
      <c r="E26" s="7"/>
      <c r="F26" s="7"/>
      <c r="G26" s="7"/>
      <c r="H26" s="7"/>
      <c r="I26" s="7">
        <f t="shared" si="32"/>
        <v>0</v>
      </c>
      <c r="J26" s="7"/>
      <c r="K26" s="7"/>
      <c r="L26" s="7"/>
      <c r="M26" s="7"/>
      <c r="N26" s="7"/>
      <c r="O26" s="7"/>
      <c r="P26" s="7">
        <f t="shared" si="33"/>
        <v>0</v>
      </c>
      <c r="Q26" s="7">
        <f t="shared" si="34"/>
        <v>0</v>
      </c>
    </row>
    <row r="27" spans="1:17" x14ac:dyDescent="0.15">
      <c r="A27" s="25"/>
      <c r="B27" s="8" t="s">
        <v>23</v>
      </c>
      <c r="C27" s="7">
        <f t="shared" ref="C27:H27" si="35">SUM(C21:C26)</f>
        <v>28143</v>
      </c>
      <c r="D27" s="7">
        <f t="shared" si="35"/>
        <v>0</v>
      </c>
      <c r="E27" s="7">
        <f t="shared" si="35"/>
        <v>0</v>
      </c>
      <c r="F27" s="7">
        <f t="shared" si="35"/>
        <v>0</v>
      </c>
      <c r="G27" s="7">
        <f t="shared" si="35"/>
        <v>0</v>
      </c>
      <c r="H27" s="7">
        <f t="shared" si="35"/>
        <v>0</v>
      </c>
      <c r="I27" s="7">
        <f t="shared" si="32"/>
        <v>28143</v>
      </c>
      <c r="J27" s="7">
        <f t="shared" ref="J27:P27" si="36">SUM(J21:J26)</f>
        <v>0</v>
      </c>
      <c r="K27" s="7">
        <f t="shared" si="36"/>
        <v>0</v>
      </c>
      <c r="L27" s="7">
        <f t="shared" si="36"/>
        <v>0</v>
      </c>
      <c r="M27" s="7">
        <f t="shared" si="36"/>
        <v>0</v>
      </c>
      <c r="N27" s="7">
        <f t="shared" si="36"/>
        <v>0</v>
      </c>
      <c r="O27" s="7">
        <f t="shared" si="36"/>
        <v>0</v>
      </c>
      <c r="P27" s="7">
        <f t="shared" si="36"/>
        <v>0</v>
      </c>
      <c r="Q27" s="7">
        <f t="shared" ref="Q27:Q28" si="37">SUM(K27:P27)</f>
        <v>0</v>
      </c>
    </row>
    <row r="28" spans="1:17" x14ac:dyDescent="0.15">
      <c r="A28" s="25"/>
      <c r="B28" s="7" t="s">
        <v>24</v>
      </c>
      <c r="C28" s="7"/>
      <c r="D28" s="7"/>
      <c r="E28" s="7"/>
      <c r="F28" s="7"/>
      <c r="G28" s="7"/>
      <c r="H28" s="7"/>
      <c r="I28" s="7">
        <f t="shared" si="32"/>
        <v>0</v>
      </c>
      <c r="J28" s="7"/>
      <c r="K28" s="7"/>
      <c r="L28" s="7"/>
      <c r="M28" s="7"/>
      <c r="N28" s="7"/>
      <c r="O28" s="7"/>
      <c r="P28" s="7">
        <f>SUM(P22:P27)</f>
        <v>0</v>
      </c>
      <c r="Q28" s="7">
        <f t="shared" si="37"/>
        <v>0</v>
      </c>
    </row>
    <row r="29" spans="1:17" x14ac:dyDescent="0.15">
      <c r="A29" s="30"/>
      <c r="B29" s="9" t="s">
        <v>14</v>
      </c>
      <c r="C29" s="10">
        <f>+C27+C28</f>
        <v>28143</v>
      </c>
      <c r="D29" s="10">
        <f t="shared" ref="D29:H29" si="38">+D27+D28</f>
        <v>0</v>
      </c>
      <c r="E29" s="10">
        <f t="shared" si="38"/>
        <v>0</v>
      </c>
      <c r="F29" s="10">
        <f t="shared" si="38"/>
        <v>0</v>
      </c>
      <c r="G29" s="10">
        <f t="shared" si="38"/>
        <v>0</v>
      </c>
      <c r="H29" s="10">
        <f t="shared" si="38"/>
        <v>0</v>
      </c>
      <c r="I29" s="10">
        <f t="shared" ref="I29" si="39">SUM(I28)</f>
        <v>0</v>
      </c>
      <c r="J29" s="10">
        <f>+J27+J28</f>
        <v>0</v>
      </c>
      <c r="K29" s="10">
        <f t="shared" ref="K29:O29" si="40">+K27+K28</f>
        <v>0</v>
      </c>
      <c r="L29" s="10">
        <f t="shared" si="40"/>
        <v>0</v>
      </c>
      <c r="M29" s="10">
        <f t="shared" si="40"/>
        <v>0</v>
      </c>
      <c r="N29" s="10">
        <f t="shared" si="40"/>
        <v>0</v>
      </c>
      <c r="O29" s="10">
        <f t="shared" si="40"/>
        <v>0</v>
      </c>
      <c r="P29" s="10">
        <f t="shared" ref="P29" si="41">SUM(P28)</f>
        <v>0</v>
      </c>
      <c r="Q29" s="10">
        <f t="shared" ref="Q29" si="42">SUM(Q28)</f>
        <v>0</v>
      </c>
    </row>
    <row r="30" spans="1:17" x14ac:dyDescent="0.15">
      <c r="A30" s="29" t="s">
        <v>27</v>
      </c>
      <c r="B30" s="6" t="s">
        <v>15</v>
      </c>
      <c r="C30" s="20">
        <f>明細!R25</f>
        <v>430315</v>
      </c>
      <c r="D30" s="6"/>
      <c r="E30" s="6"/>
      <c r="F30" s="6"/>
      <c r="G30" s="6"/>
      <c r="H30" s="6"/>
      <c r="I30" s="6">
        <f t="shared" ref="I30:I37" si="43">SUM(C30:H30)</f>
        <v>430315</v>
      </c>
      <c r="J30" s="6"/>
      <c r="K30" s="6"/>
      <c r="L30" s="6"/>
      <c r="M30" s="6"/>
      <c r="N30" s="6"/>
      <c r="O30" s="6"/>
      <c r="P30" s="6">
        <f t="shared" ref="P30:P35" si="44">SUM(J30:O30)</f>
        <v>0</v>
      </c>
      <c r="Q30" s="6">
        <f t="shared" ref="Q30:Q35" si="45">+I30+P30</f>
        <v>430315</v>
      </c>
    </row>
    <row r="31" spans="1:17" x14ac:dyDescent="0.15">
      <c r="A31" s="25"/>
      <c r="B31" s="7" t="s">
        <v>18</v>
      </c>
      <c r="C31" s="7"/>
      <c r="D31" s="7"/>
      <c r="E31" s="7"/>
      <c r="F31" s="7"/>
      <c r="G31" s="7"/>
      <c r="H31" s="7"/>
      <c r="I31" s="7">
        <f t="shared" si="43"/>
        <v>0</v>
      </c>
      <c r="J31" s="7"/>
      <c r="K31" s="7"/>
      <c r="L31" s="7"/>
      <c r="M31" s="7"/>
      <c r="N31" s="7"/>
      <c r="O31" s="7"/>
      <c r="P31" s="7">
        <f t="shared" si="44"/>
        <v>0</v>
      </c>
      <c r="Q31" s="7">
        <f t="shared" si="45"/>
        <v>0</v>
      </c>
    </row>
    <row r="32" spans="1:17" x14ac:dyDescent="0.15">
      <c r="A32" s="25"/>
      <c r="B32" s="7" t="s">
        <v>17</v>
      </c>
      <c r="C32" s="7"/>
      <c r="D32" s="7"/>
      <c r="E32" s="7"/>
      <c r="F32" s="7"/>
      <c r="G32" s="7"/>
      <c r="H32" s="7"/>
      <c r="I32" s="7">
        <f t="shared" si="43"/>
        <v>0</v>
      </c>
      <c r="J32" s="7"/>
      <c r="K32" s="7"/>
      <c r="L32" s="7"/>
      <c r="M32" s="7"/>
      <c r="N32" s="7"/>
      <c r="O32" s="7"/>
      <c r="P32" s="7">
        <f t="shared" si="44"/>
        <v>0</v>
      </c>
      <c r="Q32" s="7">
        <f t="shared" si="45"/>
        <v>0</v>
      </c>
    </row>
    <row r="33" spans="1:17" x14ac:dyDescent="0.15">
      <c r="A33" s="25"/>
      <c r="B33" s="7" t="s">
        <v>20</v>
      </c>
      <c r="C33" s="7"/>
      <c r="D33" s="7"/>
      <c r="E33" s="7"/>
      <c r="F33" s="7"/>
      <c r="G33" s="7"/>
      <c r="H33" s="7"/>
      <c r="I33" s="7">
        <f t="shared" si="43"/>
        <v>0</v>
      </c>
      <c r="J33" s="7"/>
      <c r="K33" s="7"/>
      <c r="L33" s="7"/>
      <c r="M33" s="7"/>
      <c r="N33" s="7"/>
      <c r="O33" s="7"/>
      <c r="P33" s="7">
        <f t="shared" si="44"/>
        <v>0</v>
      </c>
      <c r="Q33" s="7">
        <f t="shared" si="45"/>
        <v>0</v>
      </c>
    </row>
    <row r="34" spans="1:17" x14ac:dyDescent="0.15">
      <c r="A34" s="25"/>
      <c r="B34" s="7" t="s">
        <v>21</v>
      </c>
      <c r="C34" s="7"/>
      <c r="D34" s="7"/>
      <c r="E34" s="7"/>
      <c r="F34" s="7"/>
      <c r="G34" s="7"/>
      <c r="H34" s="7"/>
      <c r="I34" s="7">
        <f t="shared" si="43"/>
        <v>0</v>
      </c>
      <c r="J34" s="7"/>
      <c r="K34" s="7"/>
      <c r="L34" s="7"/>
      <c r="M34" s="7"/>
      <c r="N34" s="7"/>
      <c r="O34" s="7"/>
      <c r="P34" s="7">
        <f t="shared" si="44"/>
        <v>0</v>
      </c>
      <c r="Q34" s="7">
        <f t="shared" si="45"/>
        <v>0</v>
      </c>
    </row>
    <row r="35" spans="1:17" x14ac:dyDescent="0.15">
      <c r="A35" s="25"/>
      <c r="B35" s="7" t="s">
        <v>22</v>
      </c>
      <c r="C35" s="7"/>
      <c r="D35" s="7"/>
      <c r="E35" s="7"/>
      <c r="F35" s="7"/>
      <c r="G35" s="7"/>
      <c r="H35" s="7"/>
      <c r="I35" s="7">
        <f t="shared" si="43"/>
        <v>0</v>
      </c>
      <c r="J35" s="7"/>
      <c r="K35" s="7"/>
      <c r="L35" s="7"/>
      <c r="M35" s="7"/>
      <c r="N35" s="7"/>
      <c r="O35" s="7"/>
      <c r="P35" s="7">
        <f t="shared" si="44"/>
        <v>0</v>
      </c>
      <c r="Q35" s="7">
        <f t="shared" si="45"/>
        <v>0</v>
      </c>
    </row>
    <row r="36" spans="1:17" x14ac:dyDescent="0.15">
      <c r="A36" s="25"/>
      <c r="B36" s="8" t="s">
        <v>23</v>
      </c>
      <c r="C36" s="7">
        <f t="shared" ref="C36:H36" si="46">SUM(C30:C35)</f>
        <v>430315</v>
      </c>
      <c r="D36" s="7">
        <f t="shared" si="46"/>
        <v>0</v>
      </c>
      <c r="E36" s="7">
        <f t="shared" si="46"/>
        <v>0</v>
      </c>
      <c r="F36" s="7">
        <f t="shared" si="46"/>
        <v>0</v>
      </c>
      <c r="G36" s="7">
        <f t="shared" si="46"/>
        <v>0</v>
      </c>
      <c r="H36" s="7">
        <f t="shared" si="46"/>
        <v>0</v>
      </c>
      <c r="I36" s="7">
        <f t="shared" si="43"/>
        <v>430315</v>
      </c>
      <c r="J36" s="7">
        <f t="shared" ref="J36:P36" si="47">SUM(J30:J35)</f>
        <v>0</v>
      </c>
      <c r="K36" s="7">
        <f t="shared" si="47"/>
        <v>0</v>
      </c>
      <c r="L36" s="7">
        <f t="shared" si="47"/>
        <v>0</v>
      </c>
      <c r="M36" s="7">
        <f t="shared" si="47"/>
        <v>0</v>
      </c>
      <c r="N36" s="7">
        <f t="shared" si="47"/>
        <v>0</v>
      </c>
      <c r="O36" s="7">
        <f t="shared" si="47"/>
        <v>0</v>
      </c>
      <c r="P36" s="7">
        <f t="shared" si="47"/>
        <v>0</v>
      </c>
      <c r="Q36" s="7">
        <f t="shared" ref="Q36:Q37" si="48">SUM(K36:P36)</f>
        <v>0</v>
      </c>
    </row>
    <row r="37" spans="1:17" x14ac:dyDescent="0.15">
      <c r="A37" s="25"/>
      <c r="B37" s="7" t="s">
        <v>24</v>
      </c>
      <c r="C37" s="7"/>
      <c r="D37" s="7"/>
      <c r="E37" s="7"/>
      <c r="F37" s="7"/>
      <c r="G37" s="7"/>
      <c r="H37" s="7"/>
      <c r="I37" s="7">
        <f t="shared" si="43"/>
        <v>0</v>
      </c>
      <c r="J37" s="7"/>
      <c r="K37" s="7"/>
      <c r="L37" s="7"/>
      <c r="M37" s="7"/>
      <c r="N37" s="7"/>
      <c r="O37" s="7"/>
      <c r="P37" s="7">
        <f>SUM(P31:P36)</f>
        <v>0</v>
      </c>
      <c r="Q37" s="7">
        <f t="shared" si="48"/>
        <v>0</v>
      </c>
    </row>
    <row r="38" spans="1:17" ht="14.25" thickBot="1" x14ac:dyDescent="0.2">
      <c r="A38" s="31"/>
      <c r="B38" s="11" t="s">
        <v>14</v>
      </c>
      <c r="C38" s="12">
        <f>+C36+C37</f>
        <v>430315</v>
      </c>
      <c r="D38" s="12">
        <f t="shared" ref="D38:H38" si="49">+D36+D37</f>
        <v>0</v>
      </c>
      <c r="E38" s="12">
        <f t="shared" si="49"/>
        <v>0</v>
      </c>
      <c r="F38" s="12">
        <f t="shared" si="49"/>
        <v>0</v>
      </c>
      <c r="G38" s="12">
        <f t="shared" si="49"/>
        <v>0</v>
      </c>
      <c r="H38" s="12">
        <f t="shared" si="49"/>
        <v>0</v>
      </c>
      <c r="I38" s="12">
        <f t="shared" ref="I38" si="50">SUM(I37)</f>
        <v>0</v>
      </c>
      <c r="J38" s="12">
        <f>+J36+J37</f>
        <v>0</v>
      </c>
      <c r="K38" s="12">
        <f t="shared" ref="K38:O38" si="51">+K36+K37</f>
        <v>0</v>
      </c>
      <c r="L38" s="12">
        <f t="shared" si="51"/>
        <v>0</v>
      </c>
      <c r="M38" s="12">
        <f t="shared" si="51"/>
        <v>0</v>
      </c>
      <c r="N38" s="12">
        <f t="shared" si="51"/>
        <v>0</v>
      </c>
      <c r="O38" s="12">
        <f t="shared" si="51"/>
        <v>0</v>
      </c>
      <c r="P38" s="12">
        <f t="shared" ref="P38" si="52">SUM(P37)</f>
        <v>0</v>
      </c>
      <c r="Q38" s="12">
        <f t="shared" ref="Q38" si="53">SUM(Q37)</f>
        <v>0</v>
      </c>
    </row>
    <row r="39" spans="1:17" ht="14.25" thickTop="1" x14ac:dyDescent="0.15">
      <c r="A39" s="32" t="s">
        <v>29</v>
      </c>
      <c r="B39" s="13" t="s">
        <v>15</v>
      </c>
      <c r="C39" s="13">
        <f t="shared" ref="C39:H44" si="54">+C21+C30</f>
        <v>458458</v>
      </c>
      <c r="D39" s="13">
        <f t="shared" si="54"/>
        <v>0</v>
      </c>
      <c r="E39" s="13">
        <f t="shared" si="54"/>
        <v>0</v>
      </c>
      <c r="F39" s="13">
        <f t="shared" si="54"/>
        <v>0</v>
      </c>
      <c r="G39" s="13">
        <f t="shared" si="54"/>
        <v>0</v>
      </c>
      <c r="H39" s="13">
        <f t="shared" si="54"/>
        <v>0</v>
      </c>
      <c r="I39" s="13">
        <f t="shared" ref="I39:I46" si="55">SUM(C39:H39)</f>
        <v>458458</v>
      </c>
      <c r="J39" s="13">
        <f t="shared" ref="J39:O44" si="56">+J21+J30</f>
        <v>0</v>
      </c>
      <c r="K39" s="13">
        <f t="shared" si="56"/>
        <v>0</v>
      </c>
      <c r="L39" s="13">
        <f t="shared" si="56"/>
        <v>0</v>
      </c>
      <c r="M39" s="13">
        <f t="shared" si="56"/>
        <v>0</v>
      </c>
      <c r="N39" s="13">
        <f t="shared" si="56"/>
        <v>0</v>
      </c>
      <c r="O39" s="13">
        <f t="shared" si="56"/>
        <v>0</v>
      </c>
      <c r="P39" s="13">
        <f t="shared" ref="P39:P44" si="57">SUM(J39:O39)</f>
        <v>0</v>
      </c>
      <c r="Q39" s="13">
        <f t="shared" ref="Q39:Q44" si="58">+I39+P39</f>
        <v>458458</v>
      </c>
    </row>
    <row r="40" spans="1:17" x14ac:dyDescent="0.15">
      <c r="A40" s="27"/>
      <c r="B40" s="7" t="s">
        <v>18</v>
      </c>
      <c r="C40" s="7">
        <f t="shared" si="54"/>
        <v>0</v>
      </c>
      <c r="D40" s="7">
        <f t="shared" si="54"/>
        <v>0</v>
      </c>
      <c r="E40" s="7">
        <f t="shared" si="54"/>
        <v>0</v>
      </c>
      <c r="F40" s="7">
        <f t="shared" si="54"/>
        <v>0</v>
      </c>
      <c r="G40" s="7">
        <f t="shared" si="54"/>
        <v>0</v>
      </c>
      <c r="H40" s="7">
        <f t="shared" si="54"/>
        <v>0</v>
      </c>
      <c r="I40" s="7">
        <f t="shared" si="55"/>
        <v>0</v>
      </c>
      <c r="J40" s="7">
        <f t="shared" si="56"/>
        <v>0</v>
      </c>
      <c r="K40" s="7">
        <f t="shared" si="56"/>
        <v>0</v>
      </c>
      <c r="L40" s="7">
        <f t="shared" si="56"/>
        <v>0</v>
      </c>
      <c r="M40" s="7">
        <f t="shared" si="56"/>
        <v>0</v>
      </c>
      <c r="N40" s="7">
        <f t="shared" si="56"/>
        <v>0</v>
      </c>
      <c r="O40" s="7">
        <f t="shared" si="56"/>
        <v>0</v>
      </c>
      <c r="P40" s="7">
        <f t="shared" si="57"/>
        <v>0</v>
      </c>
      <c r="Q40" s="7">
        <f t="shared" si="58"/>
        <v>0</v>
      </c>
    </row>
    <row r="41" spans="1:17" x14ac:dyDescent="0.15">
      <c r="A41" s="27"/>
      <c r="B41" s="7" t="s">
        <v>17</v>
      </c>
      <c r="C41" s="7">
        <f t="shared" si="54"/>
        <v>0</v>
      </c>
      <c r="D41" s="7">
        <f t="shared" si="54"/>
        <v>0</v>
      </c>
      <c r="E41" s="7">
        <f t="shared" si="54"/>
        <v>0</v>
      </c>
      <c r="F41" s="7">
        <f t="shared" si="54"/>
        <v>0</v>
      </c>
      <c r="G41" s="7">
        <f t="shared" si="54"/>
        <v>0</v>
      </c>
      <c r="H41" s="7">
        <f t="shared" si="54"/>
        <v>0</v>
      </c>
      <c r="I41" s="7">
        <f t="shared" si="55"/>
        <v>0</v>
      </c>
      <c r="J41" s="7">
        <f t="shared" si="56"/>
        <v>0</v>
      </c>
      <c r="K41" s="7">
        <f t="shared" si="56"/>
        <v>0</v>
      </c>
      <c r="L41" s="7">
        <f t="shared" si="56"/>
        <v>0</v>
      </c>
      <c r="M41" s="7">
        <f t="shared" si="56"/>
        <v>0</v>
      </c>
      <c r="N41" s="7">
        <f t="shared" si="56"/>
        <v>0</v>
      </c>
      <c r="O41" s="7">
        <f t="shared" si="56"/>
        <v>0</v>
      </c>
      <c r="P41" s="7">
        <f t="shared" si="57"/>
        <v>0</v>
      </c>
      <c r="Q41" s="7">
        <f t="shared" si="58"/>
        <v>0</v>
      </c>
    </row>
    <row r="42" spans="1:17" x14ac:dyDescent="0.15">
      <c r="A42" s="27"/>
      <c r="B42" s="7" t="s">
        <v>20</v>
      </c>
      <c r="C42" s="7">
        <f t="shared" si="54"/>
        <v>0</v>
      </c>
      <c r="D42" s="7">
        <f t="shared" si="54"/>
        <v>0</v>
      </c>
      <c r="E42" s="7">
        <f t="shared" si="54"/>
        <v>0</v>
      </c>
      <c r="F42" s="7">
        <f t="shared" si="54"/>
        <v>0</v>
      </c>
      <c r="G42" s="7">
        <f t="shared" si="54"/>
        <v>0</v>
      </c>
      <c r="H42" s="7">
        <f t="shared" si="54"/>
        <v>0</v>
      </c>
      <c r="I42" s="7">
        <f t="shared" si="55"/>
        <v>0</v>
      </c>
      <c r="J42" s="7">
        <f t="shared" si="56"/>
        <v>0</v>
      </c>
      <c r="K42" s="7">
        <f t="shared" si="56"/>
        <v>0</v>
      </c>
      <c r="L42" s="7">
        <f t="shared" si="56"/>
        <v>0</v>
      </c>
      <c r="M42" s="7">
        <f t="shared" si="56"/>
        <v>0</v>
      </c>
      <c r="N42" s="7">
        <f t="shared" si="56"/>
        <v>0</v>
      </c>
      <c r="O42" s="7">
        <f t="shared" si="56"/>
        <v>0</v>
      </c>
      <c r="P42" s="7">
        <f t="shared" si="57"/>
        <v>0</v>
      </c>
      <c r="Q42" s="7">
        <f t="shared" si="58"/>
        <v>0</v>
      </c>
    </row>
    <row r="43" spans="1:17" x14ac:dyDescent="0.15">
      <c r="A43" s="27"/>
      <c r="B43" s="7" t="s">
        <v>21</v>
      </c>
      <c r="C43" s="7">
        <f t="shared" si="54"/>
        <v>0</v>
      </c>
      <c r="D43" s="7">
        <f t="shared" si="54"/>
        <v>0</v>
      </c>
      <c r="E43" s="7">
        <f t="shared" si="54"/>
        <v>0</v>
      </c>
      <c r="F43" s="7">
        <f t="shared" si="54"/>
        <v>0</v>
      </c>
      <c r="G43" s="7">
        <f t="shared" si="54"/>
        <v>0</v>
      </c>
      <c r="H43" s="7">
        <f t="shared" si="54"/>
        <v>0</v>
      </c>
      <c r="I43" s="7">
        <f t="shared" si="55"/>
        <v>0</v>
      </c>
      <c r="J43" s="7">
        <f t="shared" si="56"/>
        <v>0</v>
      </c>
      <c r="K43" s="7">
        <f t="shared" si="56"/>
        <v>0</v>
      </c>
      <c r="L43" s="7">
        <f t="shared" si="56"/>
        <v>0</v>
      </c>
      <c r="M43" s="7">
        <f t="shared" si="56"/>
        <v>0</v>
      </c>
      <c r="N43" s="7">
        <f t="shared" si="56"/>
        <v>0</v>
      </c>
      <c r="O43" s="7">
        <f t="shared" si="56"/>
        <v>0</v>
      </c>
      <c r="P43" s="7">
        <f t="shared" si="57"/>
        <v>0</v>
      </c>
      <c r="Q43" s="7">
        <f t="shared" si="58"/>
        <v>0</v>
      </c>
    </row>
    <row r="44" spans="1:17" x14ac:dyDescent="0.15">
      <c r="A44" s="27"/>
      <c r="B44" s="7" t="s">
        <v>22</v>
      </c>
      <c r="C44" s="7">
        <f t="shared" si="54"/>
        <v>0</v>
      </c>
      <c r="D44" s="7">
        <f t="shared" si="54"/>
        <v>0</v>
      </c>
      <c r="E44" s="7">
        <f t="shared" si="54"/>
        <v>0</v>
      </c>
      <c r="F44" s="7">
        <f t="shared" si="54"/>
        <v>0</v>
      </c>
      <c r="G44" s="7">
        <f t="shared" si="54"/>
        <v>0</v>
      </c>
      <c r="H44" s="7">
        <f t="shared" si="54"/>
        <v>0</v>
      </c>
      <c r="I44" s="7">
        <f t="shared" si="55"/>
        <v>0</v>
      </c>
      <c r="J44" s="7">
        <f t="shared" si="56"/>
        <v>0</v>
      </c>
      <c r="K44" s="7">
        <f t="shared" si="56"/>
        <v>0</v>
      </c>
      <c r="L44" s="7">
        <f t="shared" si="56"/>
        <v>0</v>
      </c>
      <c r="M44" s="7">
        <f t="shared" si="56"/>
        <v>0</v>
      </c>
      <c r="N44" s="7">
        <f t="shared" si="56"/>
        <v>0</v>
      </c>
      <c r="O44" s="7">
        <f t="shared" si="56"/>
        <v>0</v>
      </c>
      <c r="P44" s="7">
        <f t="shared" si="57"/>
        <v>0</v>
      </c>
      <c r="Q44" s="7">
        <f t="shared" si="58"/>
        <v>0</v>
      </c>
    </row>
    <row r="45" spans="1:17" x14ac:dyDescent="0.15">
      <c r="A45" s="27"/>
      <c r="B45" s="8" t="s">
        <v>23</v>
      </c>
      <c r="C45" s="7">
        <f t="shared" ref="C45:H45" si="59">SUM(C39:C44)</f>
        <v>458458</v>
      </c>
      <c r="D45" s="7">
        <f t="shared" si="59"/>
        <v>0</v>
      </c>
      <c r="E45" s="7">
        <f t="shared" si="59"/>
        <v>0</v>
      </c>
      <c r="F45" s="7">
        <f t="shared" si="59"/>
        <v>0</v>
      </c>
      <c r="G45" s="7">
        <f t="shared" si="59"/>
        <v>0</v>
      </c>
      <c r="H45" s="7">
        <f t="shared" si="59"/>
        <v>0</v>
      </c>
      <c r="I45" s="7">
        <f t="shared" si="55"/>
        <v>458458</v>
      </c>
      <c r="J45" s="7">
        <f t="shared" ref="J45:P45" si="60">SUM(J39:J44)</f>
        <v>0</v>
      </c>
      <c r="K45" s="7">
        <f t="shared" si="60"/>
        <v>0</v>
      </c>
      <c r="L45" s="7">
        <f t="shared" si="60"/>
        <v>0</v>
      </c>
      <c r="M45" s="7">
        <f t="shared" si="60"/>
        <v>0</v>
      </c>
      <c r="N45" s="7">
        <f t="shared" si="60"/>
        <v>0</v>
      </c>
      <c r="O45" s="7">
        <f t="shared" si="60"/>
        <v>0</v>
      </c>
      <c r="P45" s="7">
        <f t="shared" si="60"/>
        <v>0</v>
      </c>
      <c r="Q45" s="7">
        <f t="shared" ref="Q45:Q46" si="61">SUM(K45:P45)</f>
        <v>0</v>
      </c>
    </row>
    <row r="46" spans="1:17" x14ac:dyDescent="0.15">
      <c r="A46" s="27"/>
      <c r="B46" s="7" t="s">
        <v>24</v>
      </c>
      <c r="C46" s="7">
        <f t="shared" ref="C46:H46" si="62">+C28+C37</f>
        <v>0</v>
      </c>
      <c r="D46" s="7">
        <f t="shared" si="62"/>
        <v>0</v>
      </c>
      <c r="E46" s="7">
        <f t="shared" si="62"/>
        <v>0</v>
      </c>
      <c r="F46" s="7">
        <f t="shared" si="62"/>
        <v>0</v>
      </c>
      <c r="G46" s="7">
        <f t="shared" si="62"/>
        <v>0</v>
      </c>
      <c r="H46" s="7">
        <f t="shared" si="62"/>
        <v>0</v>
      </c>
      <c r="I46" s="7">
        <f t="shared" si="55"/>
        <v>0</v>
      </c>
      <c r="J46" s="7"/>
      <c r="K46" s="7"/>
      <c r="L46" s="7"/>
      <c r="M46" s="7"/>
      <c r="N46" s="7"/>
      <c r="O46" s="7"/>
      <c r="P46" s="7">
        <f>SUM(P40:P45)</f>
        <v>0</v>
      </c>
      <c r="Q46" s="7">
        <f t="shared" si="61"/>
        <v>0</v>
      </c>
    </row>
    <row r="47" spans="1:17" ht="14.25" thickBot="1" x14ac:dyDescent="0.2">
      <c r="A47" s="33"/>
      <c r="B47" s="14" t="s">
        <v>14</v>
      </c>
      <c r="C47" s="15">
        <f>+C45+C46</f>
        <v>458458</v>
      </c>
      <c r="D47" s="15">
        <f t="shared" ref="D47:H47" si="63">+D45+D46</f>
        <v>0</v>
      </c>
      <c r="E47" s="15">
        <f t="shared" si="63"/>
        <v>0</v>
      </c>
      <c r="F47" s="15">
        <f t="shared" si="63"/>
        <v>0</v>
      </c>
      <c r="G47" s="15">
        <f t="shared" si="63"/>
        <v>0</v>
      </c>
      <c r="H47" s="15">
        <f t="shared" si="63"/>
        <v>0</v>
      </c>
      <c r="I47" s="15">
        <f t="shared" ref="I47" si="64">SUM(I46)</f>
        <v>0</v>
      </c>
      <c r="J47" s="15">
        <f>+J45+J46</f>
        <v>0</v>
      </c>
      <c r="K47" s="15">
        <f t="shared" ref="K47:O47" si="65">+K45+K46</f>
        <v>0</v>
      </c>
      <c r="L47" s="15">
        <f t="shared" si="65"/>
        <v>0</v>
      </c>
      <c r="M47" s="15">
        <f t="shared" si="65"/>
        <v>0</v>
      </c>
      <c r="N47" s="15">
        <f t="shared" si="65"/>
        <v>0</v>
      </c>
      <c r="O47" s="15">
        <f t="shared" si="65"/>
        <v>0</v>
      </c>
      <c r="P47" s="15">
        <f t="shared" ref="P47" si="66">SUM(P46)</f>
        <v>0</v>
      </c>
      <c r="Q47" s="15">
        <f t="shared" ref="Q47" si="67">SUM(Q46)</f>
        <v>0</v>
      </c>
    </row>
    <row r="48" spans="1:17" ht="14.25" thickTop="1" x14ac:dyDescent="0.15">
      <c r="A48" s="24" t="s">
        <v>30</v>
      </c>
      <c r="B48" s="13" t="s">
        <v>15</v>
      </c>
      <c r="C48" s="23">
        <f>明細!S25</f>
        <v>76196</v>
      </c>
      <c r="D48" s="13" t="e">
        <f>+#REF!+#REF!</f>
        <v>#REF!</v>
      </c>
      <c r="E48" s="13" t="e">
        <f>+#REF!+#REF!</f>
        <v>#REF!</v>
      </c>
      <c r="F48" s="13" t="e">
        <f>+#REF!+#REF!</f>
        <v>#REF!</v>
      </c>
      <c r="G48" s="13" t="e">
        <f>+#REF!+#REF!</f>
        <v>#REF!</v>
      </c>
      <c r="H48" s="13" t="e">
        <f>+#REF!+#REF!</f>
        <v>#REF!</v>
      </c>
      <c r="I48" s="13" t="e">
        <f t="shared" ref="I48:I57" si="68">SUM(C48:H48)</f>
        <v>#REF!</v>
      </c>
      <c r="J48" s="13" t="e">
        <f>+#REF!+#REF!</f>
        <v>#REF!</v>
      </c>
      <c r="K48" s="13" t="e">
        <f>+#REF!+#REF!</f>
        <v>#REF!</v>
      </c>
      <c r="L48" s="13" t="e">
        <f>+#REF!+#REF!</f>
        <v>#REF!</v>
      </c>
      <c r="M48" s="13" t="e">
        <f>+#REF!+#REF!</f>
        <v>#REF!</v>
      </c>
      <c r="N48" s="13" t="e">
        <f>+#REF!+#REF!</f>
        <v>#REF!</v>
      </c>
      <c r="O48" s="13" t="e">
        <f>+#REF!+#REF!</f>
        <v>#REF!</v>
      </c>
      <c r="P48" s="13" t="e">
        <f t="shared" ref="P48:P55" si="69">SUM(J48:O48)</f>
        <v>#REF!</v>
      </c>
      <c r="Q48" s="13" t="e">
        <f t="shared" ref="Q48:Q55" si="70">+I48+P48</f>
        <v>#REF!</v>
      </c>
    </row>
    <row r="49" spans="1:17" x14ac:dyDescent="0.15">
      <c r="A49" s="25"/>
      <c r="B49" s="7" t="s">
        <v>18</v>
      </c>
      <c r="C49" s="7" t="e">
        <f>+#REF!+#REF!</f>
        <v>#REF!</v>
      </c>
      <c r="D49" s="7" t="e">
        <f>+#REF!+#REF!</f>
        <v>#REF!</v>
      </c>
      <c r="E49" s="7" t="e">
        <f>+#REF!+#REF!</f>
        <v>#REF!</v>
      </c>
      <c r="F49" s="7" t="e">
        <f>+#REF!+#REF!</f>
        <v>#REF!</v>
      </c>
      <c r="G49" s="7" t="e">
        <f>+#REF!+#REF!</f>
        <v>#REF!</v>
      </c>
      <c r="H49" s="7" t="e">
        <f>+#REF!+#REF!</f>
        <v>#REF!</v>
      </c>
      <c r="I49" s="7" t="e">
        <f t="shared" si="68"/>
        <v>#REF!</v>
      </c>
      <c r="J49" s="7" t="e">
        <f>+#REF!+#REF!</f>
        <v>#REF!</v>
      </c>
      <c r="K49" s="7" t="e">
        <f>+#REF!+#REF!</f>
        <v>#REF!</v>
      </c>
      <c r="L49" s="7" t="e">
        <f>+#REF!+#REF!</f>
        <v>#REF!</v>
      </c>
      <c r="M49" s="7" t="e">
        <f>+#REF!+#REF!</f>
        <v>#REF!</v>
      </c>
      <c r="N49" s="7" t="e">
        <f>+#REF!+#REF!</f>
        <v>#REF!</v>
      </c>
      <c r="O49" s="7" t="e">
        <f>+#REF!+#REF!</f>
        <v>#REF!</v>
      </c>
      <c r="P49" s="7" t="e">
        <f t="shared" si="69"/>
        <v>#REF!</v>
      </c>
      <c r="Q49" s="7" t="e">
        <f t="shared" si="70"/>
        <v>#REF!</v>
      </c>
    </row>
    <row r="50" spans="1:17" x14ac:dyDescent="0.15">
      <c r="A50" s="25"/>
      <c r="B50" s="7" t="s">
        <v>16</v>
      </c>
      <c r="C50" s="7" t="e">
        <f>+#REF!+#REF!</f>
        <v>#REF!</v>
      </c>
      <c r="D50" s="7" t="e">
        <f>+#REF!+#REF!</f>
        <v>#REF!</v>
      </c>
      <c r="E50" s="7" t="e">
        <f>+#REF!+#REF!</f>
        <v>#REF!</v>
      </c>
      <c r="F50" s="7" t="e">
        <f>+#REF!+#REF!</f>
        <v>#REF!</v>
      </c>
      <c r="G50" s="7" t="e">
        <f>+#REF!+#REF!</f>
        <v>#REF!</v>
      </c>
      <c r="H50" s="7" t="e">
        <f>+#REF!+#REF!</f>
        <v>#REF!</v>
      </c>
      <c r="I50" s="7" t="e">
        <f t="shared" si="68"/>
        <v>#REF!</v>
      </c>
      <c r="J50" s="7" t="e">
        <f>+#REF!+#REF!</f>
        <v>#REF!</v>
      </c>
      <c r="K50" s="7" t="e">
        <f>+#REF!+#REF!</f>
        <v>#REF!</v>
      </c>
      <c r="L50" s="7" t="e">
        <f>+#REF!+#REF!</f>
        <v>#REF!</v>
      </c>
      <c r="M50" s="7" t="e">
        <f>+#REF!+#REF!</f>
        <v>#REF!</v>
      </c>
      <c r="N50" s="7" t="e">
        <f>+#REF!+#REF!</f>
        <v>#REF!</v>
      </c>
      <c r="O50" s="7" t="e">
        <f>+#REF!+#REF!</f>
        <v>#REF!</v>
      </c>
      <c r="P50" s="7" t="e">
        <f t="shared" si="69"/>
        <v>#REF!</v>
      </c>
      <c r="Q50" s="7" t="e">
        <f t="shared" si="70"/>
        <v>#REF!</v>
      </c>
    </row>
    <row r="51" spans="1:17" x14ac:dyDescent="0.15">
      <c r="A51" s="25"/>
      <c r="B51" s="7" t="s">
        <v>17</v>
      </c>
      <c r="C51" s="7" t="e">
        <f>+#REF!+#REF!</f>
        <v>#REF!</v>
      </c>
      <c r="D51" s="7" t="e">
        <f>+#REF!+#REF!</f>
        <v>#REF!</v>
      </c>
      <c r="E51" s="7" t="e">
        <f>+#REF!+#REF!</f>
        <v>#REF!</v>
      </c>
      <c r="F51" s="7" t="e">
        <f>+#REF!+#REF!</f>
        <v>#REF!</v>
      </c>
      <c r="G51" s="7" t="e">
        <f>+#REF!+#REF!</f>
        <v>#REF!</v>
      </c>
      <c r="H51" s="7" t="e">
        <f>+#REF!+#REF!</f>
        <v>#REF!</v>
      </c>
      <c r="I51" s="7" t="e">
        <f t="shared" si="68"/>
        <v>#REF!</v>
      </c>
      <c r="J51" s="7" t="e">
        <f>+#REF!+#REF!</f>
        <v>#REF!</v>
      </c>
      <c r="K51" s="7" t="e">
        <f>+#REF!+#REF!</f>
        <v>#REF!</v>
      </c>
      <c r="L51" s="7" t="e">
        <f>+#REF!+#REF!</f>
        <v>#REF!</v>
      </c>
      <c r="M51" s="7" t="e">
        <f>+#REF!+#REF!</f>
        <v>#REF!</v>
      </c>
      <c r="N51" s="7" t="e">
        <f>+#REF!+#REF!</f>
        <v>#REF!</v>
      </c>
      <c r="O51" s="7" t="e">
        <f>+#REF!+#REF!</f>
        <v>#REF!</v>
      </c>
      <c r="P51" s="7" t="e">
        <f t="shared" si="69"/>
        <v>#REF!</v>
      </c>
      <c r="Q51" s="7" t="e">
        <f t="shared" si="70"/>
        <v>#REF!</v>
      </c>
    </row>
    <row r="52" spans="1:17" x14ac:dyDescent="0.15">
      <c r="A52" s="25"/>
      <c r="B52" s="7" t="s">
        <v>19</v>
      </c>
      <c r="C52" s="7" t="e">
        <f>+#REF!+#REF!</f>
        <v>#REF!</v>
      </c>
      <c r="D52" s="7" t="e">
        <f>+#REF!+#REF!</f>
        <v>#REF!</v>
      </c>
      <c r="E52" s="7" t="e">
        <f>+#REF!+#REF!</f>
        <v>#REF!</v>
      </c>
      <c r="F52" s="7" t="e">
        <f>+#REF!+#REF!</f>
        <v>#REF!</v>
      </c>
      <c r="G52" s="7" t="e">
        <f>+#REF!+#REF!</f>
        <v>#REF!</v>
      </c>
      <c r="H52" s="7" t="e">
        <f>+#REF!+#REF!</f>
        <v>#REF!</v>
      </c>
      <c r="I52" s="7" t="e">
        <f t="shared" si="68"/>
        <v>#REF!</v>
      </c>
      <c r="J52" s="7" t="e">
        <f>+#REF!+#REF!</f>
        <v>#REF!</v>
      </c>
      <c r="K52" s="7" t="e">
        <f>+#REF!+#REF!</f>
        <v>#REF!</v>
      </c>
      <c r="L52" s="7" t="e">
        <f>+#REF!+#REF!</f>
        <v>#REF!</v>
      </c>
      <c r="M52" s="7" t="e">
        <f>+#REF!+#REF!</f>
        <v>#REF!</v>
      </c>
      <c r="N52" s="7" t="e">
        <f>+#REF!+#REF!</f>
        <v>#REF!</v>
      </c>
      <c r="O52" s="7" t="e">
        <f>+#REF!+#REF!</f>
        <v>#REF!</v>
      </c>
      <c r="P52" s="7" t="e">
        <f t="shared" si="69"/>
        <v>#REF!</v>
      </c>
      <c r="Q52" s="7" t="e">
        <f t="shared" si="70"/>
        <v>#REF!</v>
      </c>
    </row>
    <row r="53" spans="1:17" x14ac:dyDescent="0.15">
      <c r="A53" s="25"/>
      <c r="B53" s="7" t="s">
        <v>20</v>
      </c>
      <c r="C53" s="7" t="e">
        <f>+#REF!+#REF!</f>
        <v>#REF!</v>
      </c>
      <c r="D53" s="7" t="e">
        <f>+#REF!+#REF!</f>
        <v>#REF!</v>
      </c>
      <c r="E53" s="7" t="e">
        <f>+#REF!+#REF!</f>
        <v>#REF!</v>
      </c>
      <c r="F53" s="7" t="e">
        <f>+#REF!+#REF!</f>
        <v>#REF!</v>
      </c>
      <c r="G53" s="7" t="e">
        <f>+#REF!+#REF!</f>
        <v>#REF!</v>
      </c>
      <c r="H53" s="7" t="e">
        <f>+#REF!+#REF!</f>
        <v>#REF!</v>
      </c>
      <c r="I53" s="7" t="e">
        <f t="shared" si="68"/>
        <v>#REF!</v>
      </c>
      <c r="J53" s="7" t="e">
        <f>+#REF!+#REF!</f>
        <v>#REF!</v>
      </c>
      <c r="K53" s="7" t="e">
        <f>+#REF!+#REF!</f>
        <v>#REF!</v>
      </c>
      <c r="L53" s="7" t="e">
        <f>+#REF!+#REF!</f>
        <v>#REF!</v>
      </c>
      <c r="M53" s="7" t="e">
        <f>+#REF!+#REF!</f>
        <v>#REF!</v>
      </c>
      <c r="N53" s="7" t="e">
        <f>+#REF!+#REF!</f>
        <v>#REF!</v>
      </c>
      <c r="O53" s="7" t="e">
        <f>+#REF!+#REF!</f>
        <v>#REF!</v>
      </c>
      <c r="P53" s="7" t="e">
        <f t="shared" si="69"/>
        <v>#REF!</v>
      </c>
      <c r="Q53" s="7" t="e">
        <f t="shared" si="70"/>
        <v>#REF!</v>
      </c>
    </row>
    <row r="54" spans="1:17" x14ac:dyDescent="0.15">
      <c r="A54" s="25"/>
      <c r="B54" s="7" t="s">
        <v>21</v>
      </c>
      <c r="C54" s="7" t="e">
        <f>+#REF!+#REF!</f>
        <v>#REF!</v>
      </c>
      <c r="D54" s="7" t="e">
        <f>+#REF!+#REF!</f>
        <v>#REF!</v>
      </c>
      <c r="E54" s="7" t="e">
        <f>+#REF!+#REF!</f>
        <v>#REF!</v>
      </c>
      <c r="F54" s="7" t="e">
        <f>+#REF!+#REF!</f>
        <v>#REF!</v>
      </c>
      <c r="G54" s="7" t="e">
        <f>+#REF!+#REF!</f>
        <v>#REF!</v>
      </c>
      <c r="H54" s="7" t="e">
        <f>+#REF!+#REF!</f>
        <v>#REF!</v>
      </c>
      <c r="I54" s="7" t="e">
        <f t="shared" si="68"/>
        <v>#REF!</v>
      </c>
      <c r="J54" s="7" t="e">
        <f>+#REF!+#REF!</f>
        <v>#REF!</v>
      </c>
      <c r="K54" s="7" t="e">
        <f>+#REF!+#REF!</f>
        <v>#REF!</v>
      </c>
      <c r="L54" s="7" t="e">
        <f>+#REF!+#REF!</f>
        <v>#REF!</v>
      </c>
      <c r="M54" s="7" t="e">
        <f>+#REF!+#REF!</f>
        <v>#REF!</v>
      </c>
      <c r="N54" s="7" t="e">
        <f>+#REF!+#REF!</f>
        <v>#REF!</v>
      </c>
      <c r="O54" s="7" t="e">
        <f>+#REF!+#REF!</f>
        <v>#REF!</v>
      </c>
      <c r="P54" s="7" t="e">
        <f t="shared" si="69"/>
        <v>#REF!</v>
      </c>
      <c r="Q54" s="7" t="e">
        <f t="shared" si="70"/>
        <v>#REF!</v>
      </c>
    </row>
    <row r="55" spans="1:17" x14ac:dyDescent="0.15">
      <c r="A55" s="25"/>
      <c r="B55" s="7" t="s">
        <v>22</v>
      </c>
      <c r="C55" s="7" t="e">
        <f>+#REF!+#REF!</f>
        <v>#REF!</v>
      </c>
      <c r="D55" s="7" t="e">
        <f>+#REF!+#REF!</f>
        <v>#REF!</v>
      </c>
      <c r="E55" s="7" t="e">
        <f>+#REF!+#REF!</f>
        <v>#REF!</v>
      </c>
      <c r="F55" s="7" t="e">
        <f>+#REF!+#REF!</f>
        <v>#REF!</v>
      </c>
      <c r="G55" s="7" t="e">
        <f>+#REF!+#REF!</f>
        <v>#REF!</v>
      </c>
      <c r="H55" s="7" t="e">
        <f>+#REF!+#REF!</f>
        <v>#REF!</v>
      </c>
      <c r="I55" s="7" t="e">
        <f t="shared" si="68"/>
        <v>#REF!</v>
      </c>
      <c r="J55" s="7" t="e">
        <f>+#REF!+#REF!</f>
        <v>#REF!</v>
      </c>
      <c r="K55" s="7" t="e">
        <f>+#REF!+#REF!</f>
        <v>#REF!</v>
      </c>
      <c r="L55" s="7" t="e">
        <f>+#REF!+#REF!</f>
        <v>#REF!</v>
      </c>
      <c r="M55" s="7" t="e">
        <f>+#REF!+#REF!</f>
        <v>#REF!</v>
      </c>
      <c r="N55" s="7" t="e">
        <f>+#REF!+#REF!</f>
        <v>#REF!</v>
      </c>
      <c r="O55" s="7" t="e">
        <f>+#REF!+#REF!</f>
        <v>#REF!</v>
      </c>
      <c r="P55" s="7" t="e">
        <f t="shared" si="69"/>
        <v>#REF!</v>
      </c>
      <c r="Q55" s="7" t="e">
        <f t="shared" si="70"/>
        <v>#REF!</v>
      </c>
    </row>
    <row r="56" spans="1:17" x14ac:dyDescent="0.15">
      <c r="A56" s="25"/>
      <c r="B56" s="8" t="s">
        <v>23</v>
      </c>
      <c r="C56" s="7" t="e">
        <f>SUM(C48:C55)</f>
        <v>#REF!</v>
      </c>
      <c r="D56" s="7" t="e">
        <f t="shared" ref="D56" si="71">SUM(D48:D55)</f>
        <v>#REF!</v>
      </c>
      <c r="E56" s="7" t="e">
        <f t="shared" ref="E56" si="72">SUM(E48:E55)</f>
        <v>#REF!</v>
      </c>
      <c r="F56" s="7" t="e">
        <f t="shared" ref="F56" si="73">SUM(F48:F55)</f>
        <v>#REF!</v>
      </c>
      <c r="G56" s="7" t="e">
        <f t="shared" ref="G56" si="74">SUM(G48:G55)</f>
        <v>#REF!</v>
      </c>
      <c r="H56" s="7" t="e">
        <f t="shared" ref="H56" si="75">SUM(H48:H55)</f>
        <v>#REF!</v>
      </c>
      <c r="I56" s="7" t="e">
        <f t="shared" si="68"/>
        <v>#REF!</v>
      </c>
      <c r="J56" s="7" t="e">
        <f>SUM(J48:J55)</f>
        <v>#REF!</v>
      </c>
      <c r="K56" s="7" t="e">
        <f>SUM(K48:K55)</f>
        <v>#REF!</v>
      </c>
      <c r="L56" s="7" t="e">
        <f t="shared" ref="L56" si="76">SUM(L48:L55)</f>
        <v>#REF!</v>
      </c>
      <c r="M56" s="7" t="e">
        <f t="shared" ref="M56" si="77">SUM(M48:M55)</f>
        <v>#REF!</v>
      </c>
      <c r="N56" s="7" t="e">
        <f t="shared" ref="N56" si="78">SUM(N48:N55)</f>
        <v>#REF!</v>
      </c>
      <c r="O56" s="7" t="e">
        <f t="shared" ref="O56" si="79">SUM(O48:O55)</f>
        <v>#REF!</v>
      </c>
      <c r="P56" s="7" t="e">
        <f t="shared" ref="P56:P57" si="80">SUM(P48:P55)</f>
        <v>#REF!</v>
      </c>
      <c r="Q56" s="7" t="e">
        <f t="shared" ref="Q56:Q57" si="81">SUM(K56:P56)</f>
        <v>#REF!</v>
      </c>
    </row>
    <row r="57" spans="1:17" x14ac:dyDescent="0.15">
      <c r="A57" s="25"/>
      <c r="B57" s="7" t="s">
        <v>24</v>
      </c>
      <c r="C57" s="7" t="e">
        <f>+#REF!+#REF!</f>
        <v>#REF!</v>
      </c>
      <c r="D57" s="7" t="e">
        <f>+#REF!+#REF!</f>
        <v>#REF!</v>
      </c>
      <c r="E57" s="7" t="e">
        <f>+#REF!+#REF!</f>
        <v>#REF!</v>
      </c>
      <c r="F57" s="7" t="e">
        <f>+#REF!+#REF!</f>
        <v>#REF!</v>
      </c>
      <c r="G57" s="7" t="e">
        <f>+#REF!+#REF!</f>
        <v>#REF!</v>
      </c>
      <c r="H57" s="7" t="e">
        <f>+#REF!+#REF!</f>
        <v>#REF!</v>
      </c>
      <c r="I57" s="7" t="e">
        <f t="shared" si="68"/>
        <v>#REF!</v>
      </c>
      <c r="J57" s="7" t="e">
        <f>+#REF!+#REF!</f>
        <v>#REF!</v>
      </c>
      <c r="K57" s="7" t="e">
        <f>+#REF!+#REF!</f>
        <v>#REF!</v>
      </c>
      <c r="L57" s="7" t="e">
        <f>+#REF!+#REF!</f>
        <v>#REF!</v>
      </c>
      <c r="M57" s="7" t="e">
        <f>+#REF!+#REF!</f>
        <v>#REF!</v>
      </c>
      <c r="N57" s="7" t="e">
        <f>+#REF!+#REF!</f>
        <v>#REF!</v>
      </c>
      <c r="O57" s="7" t="e">
        <f>+#REF!+#REF!</f>
        <v>#REF!</v>
      </c>
      <c r="P57" s="7" t="e">
        <f t="shared" si="80"/>
        <v>#REF!</v>
      </c>
      <c r="Q57" s="7" t="e">
        <f t="shared" si="81"/>
        <v>#REF!</v>
      </c>
    </row>
    <row r="58" spans="1:17" ht="14.25" thickBot="1" x14ac:dyDescent="0.2">
      <c r="A58" s="26"/>
      <c r="B58" s="14" t="s">
        <v>14</v>
      </c>
      <c r="C58" s="15" t="e">
        <f>+C56+C57</f>
        <v>#REF!</v>
      </c>
      <c r="D58" s="15" t="e">
        <f t="shared" ref="D58:J58" si="82">+D56+D57</f>
        <v>#REF!</v>
      </c>
      <c r="E58" s="15" t="e">
        <f t="shared" si="82"/>
        <v>#REF!</v>
      </c>
      <c r="F58" s="15" t="e">
        <f t="shared" si="82"/>
        <v>#REF!</v>
      </c>
      <c r="G58" s="15" t="e">
        <f t="shared" si="82"/>
        <v>#REF!</v>
      </c>
      <c r="H58" s="15" t="e">
        <f t="shared" si="82"/>
        <v>#REF!</v>
      </c>
      <c r="I58" s="15" t="e">
        <f t="shared" ref="I58" si="83">SUM(I57)</f>
        <v>#REF!</v>
      </c>
      <c r="J58" s="15" t="e">
        <f t="shared" si="82"/>
        <v>#REF!</v>
      </c>
      <c r="K58" s="15" t="e">
        <f t="shared" ref="K58" si="84">+K56+K57</f>
        <v>#REF!</v>
      </c>
      <c r="L58" s="15" t="e">
        <f t="shared" ref="L58" si="85">+L56+L57</f>
        <v>#REF!</v>
      </c>
      <c r="M58" s="15" t="e">
        <f t="shared" ref="M58" si="86">+M56+M57</f>
        <v>#REF!</v>
      </c>
      <c r="N58" s="15" t="e">
        <f t="shared" ref="N58" si="87">+N56+N57</f>
        <v>#REF!</v>
      </c>
      <c r="O58" s="15" t="e">
        <f t="shared" ref="O58" si="88">+O56+O57</f>
        <v>#REF!</v>
      </c>
      <c r="P58" s="15" t="e">
        <f t="shared" ref="P58" si="89">SUM(P57)</f>
        <v>#REF!</v>
      </c>
      <c r="Q58" s="15" t="e">
        <f t="shared" ref="Q58" si="90">SUM(Q57)</f>
        <v>#REF!</v>
      </c>
    </row>
    <row r="59" spans="1:17" ht="14.25" thickTop="1" x14ac:dyDescent="0.15">
      <c r="A59" s="27" t="s">
        <v>31</v>
      </c>
      <c r="B59" s="2" t="s">
        <v>15</v>
      </c>
      <c r="C59" s="2">
        <f t="shared" ref="C59:O59" si="91">+C3+C12+C39+C48</f>
        <v>3446378</v>
      </c>
      <c r="D59" s="2" t="e">
        <f t="shared" si="91"/>
        <v>#REF!</v>
      </c>
      <c r="E59" s="2" t="e">
        <f t="shared" si="91"/>
        <v>#REF!</v>
      </c>
      <c r="F59" s="2" t="e">
        <f t="shared" si="91"/>
        <v>#REF!</v>
      </c>
      <c r="G59" s="2" t="e">
        <f t="shared" si="91"/>
        <v>#REF!</v>
      </c>
      <c r="H59" s="2" t="e">
        <f t="shared" si="91"/>
        <v>#REF!</v>
      </c>
      <c r="I59" s="2" t="e">
        <f t="shared" si="91"/>
        <v>#REF!</v>
      </c>
      <c r="J59" s="2" t="e">
        <f t="shared" si="91"/>
        <v>#REF!</v>
      </c>
      <c r="K59" s="2" t="e">
        <f t="shared" si="91"/>
        <v>#REF!</v>
      </c>
      <c r="L59" s="2" t="e">
        <f t="shared" si="91"/>
        <v>#REF!</v>
      </c>
      <c r="M59" s="2" t="e">
        <f t="shared" si="91"/>
        <v>#REF!</v>
      </c>
      <c r="N59" s="2" t="e">
        <f t="shared" si="91"/>
        <v>#REF!</v>
      </c>
      <c r="O59" s="2" t="e">
        <f t="shared" si="91"/>
        <v>#REF!</v>
      </c>
      <c r="P59" s="2" t="e">
        <f t="shared" ref="P59:P66" si="92">SUM(J59:O59)</f>
        <v>#REF!</v>
      </c>
      <c r="Q59" s="2" t="e">
        <f t="shared" ref="Q59:Q66" si="93">+I59+P59</f>
        <v>#REF!</v>
      </c>
    </row>
    <row r="60" spans="1:17" x14ac:dyDescent="0.15">
      <c r="A60" s="27"/>
      <c r="B60" s="2" t="s">
        <v>18</v>
      </c>
      <c r="C60" s="2" t="e">
        <f t="shared" ref="C60:O60" si="94">+C4+C13+C40+C49</f>
        <v>#REF!</v>
      </c>
      <c r="D60" s="2" t="e">
        <f t="shared" si="94"/>
        <v>#REF!</v>
      </c>
      <c r="E60" s="2" t="e">
        <f t="shared" si="94"/>
        <v>#REF!</v>
      </c>
      <c r="F60" s="2" t="e">
        <f t="shared" si="94"/>
        <v>#REF!</v>
      </c>
      <c r="G60" s="2" t="e">
        <f t="shared" si="94"/>
        <v>#REF!</v>
      </c>
      <c r="H60" s="2" t="e">
        <f t="shared" si="94"/>
        <v>#REF!</v>
      </c>
      <c r="I60" s="2" t="e">
        <f t="shared" si="94"/>
        <v>#REF!</v>
      </c>
      <c r="J60" s="2" t="e">
        <f t="shared" si="94"/>
        <v>#REF!</v>
      </c>
      <c r="K60" s="2" t="e">
        <f t="shared" si="94"/>
        <v>#REF!</v>
      </c>
      <c r="L60" s="2" t="e">
        <f t="shared" si="94"/>
        <v>#REF!</v>
      </c>
      <c r="M60" s="2" t="e">
        <f t="shared" si="94"/>
        <v>#REF!</v>
      </c>
      <c r="N60" s="2" t="e">
        <f t="shared" si="94"/>
        <v>#REF!</v>
      </c>
      <c r="O60" s="2" t="e">
        <f t="shared" si="94"/>
        <v>#REF!</v>
      </c>
      <c r="P60" s="2" t="e">
        <f t="shared" si="92"/>
        <v>#REF!</v>
      </c>
      <c r="Q60" s="2" t="e">
        <f t="shared" si="93"/>
        <v>#REF!</v>
      </c>
    </row>
    <row r="61" spans="1:17" x14ac:dyDescent="0.15">
      <c r="A61" s="27"/>
      <c r="B61" s="2" t="s">
        <v>16</v>
      </c>
      <c r="C61" s="2" t="e">
        <f>+#REF!+#REF!+#REF!+C50</f>
        <v>#REF!</v>
      </c>
      <c r="D61" s="2" t="e">
        <f>+#REF!+#REF!+#REF!+D50</f>
        <v>#REF!</v>
      </c>
      <c r="E61" s="2" t="e">
        <f>+#REF!+#REF!+#REF!+E50</f>
        <v>#REF!</v>
      </c>
      <c r="F61" s="2" t="e">
        <f>+#REF!+#REF!+#REF!+F50</f>
        <v>#REF!</v>
      </c>
      <c r="G61" s="2" t="e">
        <f>+#REF!+#REF!+#REF!+G50</f>
        <v>#REF!</v>
      </c>
      <c r="H61" s="2" t="e">
        <f>+#REF!+#REF!+#REF!+H50</f>
        <v>#REF!</v>
      </c>
      <c r="I61" s="2" t="e">
        <f>+#REF!+#REF!+#REF!+I50</f>
        <v>#REF!</v>
      </c>
      <c r="J61" s="2" t="e">
        <f>+#REF!+#REF!+#REF!+J50</f>
        <v>#REF!</v>
      </c>
      <c r="K61" s="2" t="e">
        <f>+#REF!+#REF!+#REF!+K50</f>
        <v>#REF!</v>
      </c>
      <c r="L61" s="2" t="e">
        <f>+#REF!+#REF!+#REF!+L50</f>
        <v>#REF!</v>
      </c>
      <c r="M61" s="2" t="e">
        <f>+#REF!+#REF!+#REF!+M50</f>
        <v>#REF!</v>
      </c>
      <c r="N61" s="2" t="e">
        <f>+#REF!+#REF!+#REF!+N50</f>
        <v>#REF!</v>
      </c>
      <c r="O61" s="2" t="e">
        <f>+#REF!+#REF!+#REF!+O50</f>
        <v>#REF!</v>
      </c>
      <c r="P61" s="2" t="e">
        <f t="shared" si="92"/>
        <v>#REF!</v>
      </c>
      <c r="Q61" s="2" t="e">
        <f t="shared" si="93"/>
        <v>#REF!</v>
      </c>
    </row>
    <row r="62" spans="1:17" x14ac:dyDescent="0.15">
      <c r="A62" s="27"/>
      <c r="B62" s="2" t="s">
        <v>17</v>
      </c>
      <c r="C62" s="2" t="e">
        <f t="shared" ref="C62:O62" si="95">+C5+C14+C41+C51</f>
        <v>#REF!</v>
      </c>
      <c r="D62" s="2" t="e">
        <f t="shared" si="95"/>
        <v>#REF!</v>
      </c>
      <c r="E62" s="2" t="e">
        <f t="shared" si="95"/>
        <v>#REF!</v>
      </c>
      <c r="F62" s="2" t="e">
        <f t="shared" si="95"/>
        <v>#REF!</v>
      </c>
      <c r="G62" s="2" t="e">
        <f t="shared" si="95"/>
        <v>#REF!</v>
      </c>
      <c r="H62" s="2" t="e">
        <f t="shared" si="95"/>
        <v>#REF!</v>
      </c>
      <c r="I62" s="2" t="e">
        <f t="shared" si="95"/>
        <v>#REF!</v>
      </c>
      <c r="J62" s="2" t="e">
        <f t="shared" si="95"/>
        <v>#REF!</v>
      </c>
      <c r="K62" s="2" t="e">
        <f t="shared" si="95"/>
        <v>#REF!</v>
      </c>
      <c r="L62" s="2" t="e">
        <f t="shared" si="95"/>
        <v>#REF!</v>
      </c>
      <c r="M62" s="2" t="e">
        <f t="shared" si="95"/>
        <v>#REF!</v>
      </c>
      <c r="N62" s="2" t="e">
        <f t="shared" si="95"/>
        <v>#REF!</v>
      </c>
      <c r="O62" s="2" t="e">
        <f t="shared" si="95"/>
        <v>#REF!</v>
      </c>
      <c r="P62" s="2" t="e">
        <f t="shared" si="92"/>
        <v>#REF!</v>
      </c>
      <c r="Q62" s="2" t="e">
        <f t="shared" si="93"/>
        <v>#REF!</v>
      </c>
    </row>
    <row r="63" spans="1:17" x14ac:dyDescent="0.15">
      <c r="A63" s="27"/>
      <c r="B63" s="2" t="s">
        <v>19</v>
      </c>
      <c r="C63" s="2" t="e">
        <f>+#REF!+#REF!+#REF!+C52</f>
        <v>#REF!</v>
      </c>
      <c r="D63" s="2" t="e">
        <f>+#REF!+#REF!+#REF!+D52</f>
        <v>#REF!</v>
      </c>
      <c r="E63" s="2" t="e">
        <f>+#REF!+#REF!+#REF!+E52</f>
        <v>#REF!</v>
      </c>
      <c r="F63" s="2" t="e">
        <f>+#REF!+#REF!+#REF!+F52</f>
        <v>#REF!</v>
      </c>
      <c r="G63" s="2" t="e">
        <f>+#REF!+#REF!+#REF!+G52</f>
        <v>#REF!</v>
      </c>
      <c r="H63" s="2" t="e">
        <f>+#REF!+#REF!+#REF!+H52</f>
        <v>#REF!</v>
      </c>
      <c r="I63" s="2" t="e">
        <f>+#REF!+#REF!+#REF!+I52</f>
        <v>#REF!</v>
      </c>
      <c r="J63" s="2" t="e">
        <f>+#REF!+#REF!+#REF!+J52</f>
        <v>#REF!</v>
      </c>
      <c r="K63" s="2" t="e">
        <f>+#REF!+#REF!+#REF!+K52</f>
        <v>#REF!</v>
      </c>
      <c r="L63" s="2" t="e">
        <f>+#REF!+#REF!+#REF!+L52</f>
        <v>#REF!</v>
      </c>
      <c r="M63" s="2" t="e">
        <f>+#REF!+#REF!+#REF!+M52</f>
        <v>#REF!</v>
      </c>
      <c r="N63" s="2" t="e">
        <f>+#REF!+#REF!+#REF!+N52</f>
        <v>#REF!</v>
      </c>
      <c r="O63" s="2" t="e">
        <f>+#REF!+#REF!+#REF!+O52</f>
        <v>#REF!</v>
      </c>
      <c r="P63" s="2" t="e">
        <f t="shared" si="92"/>
        <v>#REF!</v>
      </c>
      <c r="Q63" s="2" t="e">
        <f t="shared" si="93"/>
        <v>#REF!</v>
      </c>
    </row>
    <row r="64" spans="1:17" x14ac:dyDescent="0.15">
      <c r="A64" s="27"/>
      <c r="B64" s="2" t="s">
        <v>20</v>
      </c>
      <c r="C64" s="2" t="e">
        <f t="shared" ref="C64:O64" si="96">+C6+C15+C42+C53</f>
        <v>#REF!</v>
      </c>
      <c r="D64" s="2" t="e">
        <f t="shared" si="96"/>
        <v>#REF!</v>
      </c>
      <c r="E64" s="2" t="e">
        <f t="shared" si="96"/>
        <v>#REF!</v>
      </c>
      <c r="F64" s="2" t="e">
        <f t="shared" si="96"/>
        <v>#REF!</v>
      </c>
      <c r="G64" s="2" t="e">
        <f t="shared" si="96"/>
        <v>#REF!</v>
      </c>
      <c r="H64" s="2" t="e">
        <f t="shared" si="96"/>
        <v>#REF!</v>
      </c>
      <c r="I64" s="2" t="e">
        <f t="shared" si="96"/>
        <v>#REF!</v>
      </c>
      <c r="J64" s="2" t="e">
        <f t="shared" si="96"/>
        <v>#REF!</v>
      </c>
      <c r="K64" s="2" t="e">
        <f t="shared" si="96"/>
        <v>#REF!</v>
      </c>
      <c r="L64" s="2" t="e">
        <f t="shared" si="96"/>
        <v>#REF!</v>
      </c>
      <c r="M64" s="2" t="e">
        <f t="shared" si="96"/>
        <v>#REF!</v>
      </c>
      <c r="N64" s="2" t="e">
        <f t="shared" si="96"/>
        <v>#REF!</v>
      </c>
      <c r="O64" s="2" t="e">
        <f t="shared" si="96"/>
        <v>#REF!</v>
      </c>
      <c r="P64" s="2" t="e">
        <f t="shared" si="92"/>
        <v>#REF!</v>
      </c>
      <c r="Q64" s="2" t="e">
        <f t="shared" si="93"/>
        <v>#REF!</v>
      </c>
    </row>
    <row r="65" spans="1:17" x14ac:dyDescent="0.15">
      <c r="A65" s="27"/>
      <c r="B65" s="2" t="s">
        <v>21</v>
      </c>
      <c r="C65" s="2" t="e">
        <f t="shared" ref="C65:O65" si="97">+C7+C16+C43+C54</f>
        <v>#REF!</v>
      </c>
      <c r="D65" s="2" t="e">
        <f t="shared" si="97"/>
        <v>#REF!</v>
      </c>
      <c r="E65" s="2" t="e">
        <f t="shared" si="97"/>
        <v>#REF!</v>
      </c>
      <c r="F65" s="2" t="e">
        <f t="shared" si="97"/>
        <v>#REF!</v>
      </c>
      <c r="G65" s="2" t="e">
        <f t="shared" si="97"/>
        <v>#REF!</v>
      </c>
      <c r="H65" s="2" t="e">
        <f t="shared" si="97"/>
        <v>#REF!</v>
      </c>
      <c r="I65" s="2" t="e">
        <f t="shared" si="97"/>
        <v>#REF!</v>
      </c>
      <c r="J65" s="2" t="e">
        <f t="shared" si="97"/>
        <v>#REF!</v>
      </c>
      <c r="K65" s="2" t="e">
        <f t="shared" si="97"/>
        <v>#REF!</v>
      </c>
      <c r="L65" s="2" t="e">
        <f t="shared" si="97"/>
        <v>#REF!</v>
      </c>
      <c r="M65" s="2" t="e">
        <f t="shared" si="97"/>
        <v>#REF!</v>
      </c>
      <c r="N65" s="2" t="e">
        <f t="shared" si="97"/>
        <v>#REF!</v>
      </c>
      <c r="O65" s="2" t="e">
        <f t="shared" si="97"/>
        <v>#REF!</v>
      </c>
      <c r="P65" s="2" t="e">
        <f t="shared" si="92"/>
        <v>#REF!</v>
      </c>
      <c r="Q65" s="2" t="e">
        <f t="shared" si="93"/>
        <v>#REF!</v>
      </c>
    </row>
    <row r="66" spans="1:17" x14ac:dyDescent="0.15">
      <c r="A66" s="27"/>
      <c r="B66" s="2" t="s">
        <v>22</v>
      </c>
      <c r="C66" s="2" t="e">
        <f t="shared" ref="C66:O66" si="98">+C8+C17+C44+C55</f>
        <v>#REF!</v>
      </c>
      <c r="D66" s="2" t="e">
        <f t="shared" si="98"/>
        <v>#REF!</v>
      </c>
      <c r="E66" s="2" t="e">
        <f t="shared" si="98"/>
        <v>#REF!</v>
      </c>
      <c r="F66" s="2" t="e">
        <f t="shared" si="98"/>
        <v>#REF!</v>
      </c>
      <c r="G66" s="2" t="e">
        <f t="shared" si="98"/>
        <v>#REF!</v>
      </c>
      <c r="H66" s="2" t="e">
        <f t="shared" si="98"/>
        <v>#REF!</v>
      </c>
      <c r="I66" s="2" t="e">
        <f t="shared" si="98"/>
        <v>#REF!</v>
      </c>
      <c r="J66" s="2" t="e">
        <f t="shared" si="98"/>
        <v>#REF!</v>
      </c>
      <c r="K66" s="2" t="e">
        <f t="shared" si="98"/>
        <v>#REF!</v>
      </c>
      <c r="L66" s="2" t="e">
        <f t="shared" si="98"/>
        <v>#REF!</v>
      </c>
      <c r="M66" s="2" t="e">
        <f t="shared" si="98"/>
        <v>#REF!</v>
      </c>
      <c r="N66" s="2" t="e">
        <f t="shared" si="98"/>
        <v>#REF!</v>
      </c>
      <c r="O66" s="2" t="e">
        <f t="shared" si="98"/>
        <v>#REF!</v>
      </c>
      <c r="P66" s="2" t="e">
        <f t="shared" si="92"/>
        <v>#REF!</v>
      </c>
      <c r="Q66" s="2" t="e">
        <f t="shared" si="93"/>
        <v>#REF!</v>
      </c>
    </row>
    <row r="67" spans="1:17" x14ac:dyDescent="0.15">
      <c r="A67" s="27"/>
      <c r="B67" s="3" t="s">
        <v>23</v>
      </c>
      <c r="C67" s="2" t="e">
        <f>SUM(C59:C66)</f>
        <v>#REF!</v>
      </c>
      <c r="D67" s="2" t="e">
        <f t="shared" ref="D67" si="99">SUM(D59:D66)</f>
        <v>#REF!</v>
      </c>
      <c r="E67" s="2" t="e">
        <f t="shared" ref="E67" si="100">SUM(E59:E66)</f>
        <v>#REF!</v>
      </c>
      <c r="F67" s="2" t="e">
        <f t="shared" ref="F67" si="101">SUM(F59:F66)</f>
        <v>#REF!</v>
      </c>
      <c r="G67" s="2" t="e">
        <f t="shared" ref="G67" si="102">SUM(G59:G66)</f>
        <v>#REF!</v>
      </c>
      <c r="H67" s="2" t="e">
        <f t="shared" ref="H67" si="103">SUM(H59:H66)</f>
        <v>#REF!</v>
      </c>
      <c r="I67" s="2" t="e">
        <f t="shared" ref="I67:I68" si="104">SUM(C67:H67)</f>
        <v>#REF!</v>
      </c>
      <c r="J67" s="2" t="e">
        <f>SUM(J59:J66)</f>
        <v>#REF!</v>
      </c>
      <c r="K67" s="2" t="e">
        <f>SUM(K59:K66)</f>
        <v>#REF!</v>
      </c>
      <c r="L67" s="2" t="e">
        <f t="shared" ref="L67" si="105">SUM(L59:L66)</f>
        <v>#REF!</v>
      </c>
      <c r="M67" s="2" t="e">
        <f t="shared" ref="M67" si="106">SUM(M59:M66)</f>
        <v>#REF!</v>
      </c>
      <c r="N67" s="2" t="e">
        <f t="shared" ref="N67" si="107">SUM(N59:N66)</f>
        <v>#REF!</v>
      </c>
      <c r="O67" s="2" t="e">
        <f t="shared" ref="O67" si="108">SUM(O59:O66)</f>
        <v>#REF!</v>
      </c>
      <c r="P67" s="2" t="e">
        <f t="shared" ref="P67:P68" si="109">SUM(P59:P66)</f>
        <v>#REF!</v>
      </c>
      <c r="Q67" s="2" t="e">
        <f t="shared" ref="Q67:Q68" si="110">SUM(K67:P67)</f>
        <v>#REF!</v>
      </c>
    </row>
    <row r="68" spans="1:17" x14ac:dyDescent="0.15">
      <c r="A68" s="27"/>
      <c r="B68" s="2" t="s">
        <v>24</v>
      </c>
      <c r="C68" s="2" t="e">
        <f t="shared" ref="C68:H68" si="111">+C10+C19+C46+C57</f>
        <v>#REF!</v>
      </c>
      <c r="D68" s="2" t="e">
        <f t="shared" si="111"/>
        <v>#REF!</v>
      </c>
      <c r="E68" s="2" t="e">
        <f t="shared" si="111"/>
        <v>#REF!</v>
      </c>
      <c r="F68" s="2" t="e">
        <f t="shared" si="111"/>
        <v>#REF!</v>
      </c>
      <c r="G68" s="2" t="e">
        <f t="shared" si="111"/>
        <v>#REF!</v>
      </c>
      <c r="H68" s="2" t="e">
        <f t="shared" si="111"/>
        <v>#REF!</v>
      </c>
      <c r="I68" s="2" t="e">
        <f t="shared" si="104"/>
        <v>#REF!</v>
      </c>
      <c r="J68" s="2" t="e">
        <f t="shared" ref="J68:O68" si="112">+J10+J19+J46+J57</f>
        <v>#REF!</v>
      </c>
      <c r="K68" s="2" t="e">
        <f t="shared" si="112"/>
        <v>#REF!</v>
      </c>
      <c r="L68" s="2" t="e">
        <f t="shared" si="112"/>
        <v>#REF!</v>
      </c>
      <c r="M68" s="2" t="e">
        <f t="shared" si="112"/>
        <v>#REF!</v>
      </c>
      <c r="N68" s="2" t="e">
        <f t="shared" si="112"/>
        <v>#REF!</v>
      </c>
      <c r="O68" s="2" t="e">
        <f t="shared" si="112"/>
        <v>#REF!</v>
      </c>
      <c r="P68" s="2" t="e">
        <f t="shared" si="109"/>
        <v>#REF!</v>
      </c>
      <c r="Q68" s="2" t="e">
        <f t="shared" si="110"/>
        <v>#REF!</v>
      </c>
    </row>
    <row r="69" spans="1:17" x14ac:dyDescent="0.15">
      <c r="A69" s="28"/>
      <c r="B69" s="4" t="s">
        <v>14</v>
      </c>
      <c r="C69" s="5" t="e">
        <f>+C67+C68</f>
        <v>#REF!</v>
      </c>
      <c r="D69" s="5" t="e">
        <f t="shared" ref="D69:J69" si="113">+D67+D68</f>
        <v>#REF!</v>
      </c>
      <c r="E69" s="5" t="e">
        <f t="shared" si="113"/>
        <v>#REF!</v>
      </c>
      <c r="F69" s="5" t="e">
        <f t="shared" si="113"/>
        <v>#REF!</v>
      </c>
      <c r="G69" s="5" t="e">
        <f t="shared" si="113"/>
        <v>#REF!</v>
      </c>
      <c r="H69" s="5" t="e">
        <f t="shared" si="113"/>
        <v>#REF!</v>
      </c>
      <c r="I69" s="5" t="e">
        <f t="shared" ref="I69" si="114">SUM(I68)</f>
        <v>#REF!</v>
      </c>
      <c r="J69" s="5" t="e">
        <f t="shared" si="113"/>
        <v>#REF!</v>
      </c>
      <c r="K69" s="5" t="e">
        <f t="shared" ref="K69" si="115">+K67+K68</f>
        <v>#REF!</v>
      </c>
      <c r="L69" s="5" t="e">
        <f t="shared" ref="L69" si="116">+L67+L68</f>
        <v>#REF!</v>
      </c>
      <c r="M69" s="5" t="e">
        <f t="shared" ref="M69" si="117">+M67+M68</f>
        <v>#REF!</v>
      </c>
      <c r="N69" s="5" t="e">
        <f t="shared" ref="N69" si="118">+N67+N68</f>
        <v>#REF!</v>
      </c>
      <c r="O69" s="5" t="e">
        <f t="shared" ref="O69" si="119">+O67+O68</f>
        <v>#REF!</v>
      </c>
      <c r="P69" s="5" t="e">
        <f t="shared" ref="P69" si="120">SUM(P68)</f>
        <v>#REF!</v>
      </c>
      <c r="Q69" s="5" t="e">
        <f t="shared" ref="Q69" si="121">SUM(Q68)</f>
        <v>#REF!</v>
      </c>
    </row>
    <row r="70" spans="1:17" x14ac:dyDescent="0.15">
      <c r="A70" s="29" t="s">
        <v>33</v>
      </c>
      <c r="B70" s="6" t="s">
        <v>15</v>
      </c>
      <c r="C70" s="20">
        <f>明細!T25</f>
        <v>335440</v>
      </c>
      <c r="D70" s="6"/>
      <c r="E70" s="6"/>
      <c r="F70" s="6"/>
      <c r="G70" s="6"/>
      <c r="H70" s="6"/>
      <c r="I70" s="6">
        <f>SUM(C70:H70)</f>
        <v>335440</v>
      </c>
      <c r="J70" s="6"/>
      <c r="K70" s="6"/>
      <c r="L70" s="6"/>
      <c r="M70" s="6"/>
      <c r="N70" s="6"/>
      <c r="O70" s="6"/>
      <c r="P70" s="6">
        <f>SUM(J70:O70)</f>
        <v>0</v>
      </c>
      <c r="Q70" s="6">
        <f>+I70+P70</f>
        <v>335440</v>
      </c>
    </row>
    <row r="71" spans="1:17" x14ac:dyDescent="0.15">
      <c r="A71" s="25"/>
      <c r="B71" s="7" t="s">
        <v>18</v>
      </c>
      <c r="C71" s="7"/>
      <c r="D71" s="7"/>
      <c r="E71" s="7"/>
      <c r="F71" s="7"/>
      <c r="G71" s="7"/>
      <c r="H71" s="7"/>
      <c r="I71" s="7">
        <f t="shared" ref="I71:I79" si="122">SUM(C71:H71)</f>
        <v>0</v>
      </c>
      <c r="J71" s="7"/>
      <c r="K71" s="7"/>
      <c r="L71" s="7"/>
      <c r="M71" s="7"/>
      <c r="N71" s="7"/>
      <c r="O71" s="7"/>
      <c r="P71" s="7">
        <f t="shared" ref="P71:P77" si="123">SUM(J71:O71)</f>
        <v>0</v>
      </c>
      <c r="Q71" s="7">
        <f t="shared" ref="Q71:Q77" si="124">+I71+P71</f>
        <v>0</v>
      </c>
    </row>
    <row r="72" spans="1:17" x14ac:dyDescent="0.15">
      <c r="A72" s="25"/>
      <c r="B72" s="7" t="s">
        <v>16</v>
      </c>
      <c r="C72" s="7"/>
      <c r="D72" s="7"/>
      <c r="E72" s="7"/>
      <c r="F72" s="7"/>
      <c r="G72" s="7"/>
      <c r="H72" s="7"/>
      <c r="I72" s="7">
        <f t="shared" si="122"/>
        <v>0</v>
      </c>
      <c r="J72" s="7"/>
      <c r="K72" s="7"/>
      <c r="L72" s="7"/>
      <c r="M72" s="7"/>
      <c r="N72" s="7"/>
      <c r="O72" s="7"/>
      <c r="P72" s="7">
        <f t="shared" si="123"/>
        <v>0</v>
      </c>
      <c r="Q72" s="7">
        <f t="shared" si="124"/>
        <v>0</v>
      </c>
    </row>
    <row r="73" spans="1:17" x14ac:dyDescent="0.15">
      <c r="A73" s="25"/>
      <c r="B73" s="7" t="s">
        <v>17</v>
      </c>
      <c r="C73" s="7"/>
      <c r="D73" s="7"/>
      <c r="E73" s="7"/>
      <c r="F73" s="7"/>
      <c r="G73" s="7"/>
      <c r="H73" s="7"/>
      <c r="I73" s="7">
        <f t="shared" si="122"/>
        <v>0</v>
      </c>
      <c r="J73" s="7"/>
      <c r="K73" s="7"/>
      <c r="L73" s="7"/>
      <c r="M73" s="7"/>
      <c r="N73" s="7"/>
      <c r="O73" s="7"/>
      <c r="P73" s="7">
        <f t="shared" si="123"/>
        <v>0</v>
      </c>
      <c r="Q73" s="7">
        <f t="shared" si="124"/>
        <v>0</v>
      </c>
    </row>
    <row r="74" spans="1:17" x14ac:dyDescent="0.15">
      <c r="A74" s="25"/>
      <c r="B74" s="7" t="s">
        <v>19</v>
      </c>
      <c r="C74" s="7"/>
      <c r="D74" s="7"/>
      <c r="E74" s="7"/>
      <c r="F74" s="7"/>
      <c r="G74" s="7"/>
      <c r="H74" s="7"/>
      <c r="I74" s="7">
        <f t="shared" si="122"/>
        <v>0</v>
      </c>
      <c r="J74" s="7"/>
      <c r="K74" s="7"/>
      <c r="L74" s="7"/>
      <c r="M74" s="7"/>
      <c r="N74" s="7"/>
      <c r="O74" s="7"/>
      <c r="P74" s="7">
        <f t="shared" si="123"/>
        <v>0</v>
      </c>
      <c r="Q74" s="7">
        <f t="shared" si="124"/>
        <v>0</v>
      </c>
    </row>
    <row r="75" spans="1:17" x14ac:dyDescent="0.15">
      <c r="A75" s="25"/>
      <c r="B75" s="7" t="s">
        <v>20</v>
      </c>
      <c r="C75" s="7"/>
      <c r="D75" s="7"/>
      <c r="E75" s="7"/>
      <c r="F75" s="7"/>
      <c r="G75" s="7"/>
      <c r="H75" s="7"/>
      <c r="I75" s="7">
        <f t="shared" si="122"/>
        <v>0</v>
      </c>
      <c r="J75" s="7"/>
      <c r="K75" s="7"/>
      <c r="L75" s="7"/>
      <c r="M75" s="7"/>
      <c r="N75" s="7"/>
      <c r="O75" s="7"/>
      <c r="P75" s="7">
        <f t="shared" si="123"/>
        <v>0</v>
      </c>
      <c r="Q75" s="7">
        <f t="shared" si="124"/>
        <v>0</v>
      </c>
    </row>
    <row r="76" spans="1:17" x14ac:dyDescent="0.15">
      <c r="A76" s="25"/>
      <c r="B76" s="7" t="s">
        <v>21</v>
      </c>
      <c r="C76" s="7"/>
      <c r="D76" s="7"/>
      <c r="E76" s="7"/>
      <c r="F76" s="7"/>
      <c r="G76" s="7"/>
      <c r="H76" s="7"/>
      <c r="I76" s="7">
        <f t="shared" si="122"/>
        <v>0</v>
      </c>
      <c r="J76" s="7"/>
      <c r="K76" s="7"/>
      <c r="L76" s="7"/>
      <c r="M76" s="7"/>
      <c r="N76" s="7"/>
      <c r="O76" s="7"/>
      <c r="P76" s="7">
        <f t="shared" si="123"/>
        <v>0</v>
      </c>
      <c r="Q76" s="7">
        <f t="shared" si="124"/>
        <v>0</v>
      </c>
    </row>
    <row r="77" spans="1:17" x14ac:dyDescent="0.15">
      <c r="A77" s="25"/>
      <c r="B77" s="7" t="s">
        <v>22</v>
      </c>
      <c r="C77" s="7"/>
      <c r="D77" s="7"/>
      <c r="E77" s="7"/>
      <c r="F77" s="7"/>
      <c r="G77" s="7"/>
      <c r="H77" s="7"/>
      <c r="I77" s="7">
        <f t="shared" si="122"/>
        <v>0</v>
      </c>
      <c r="J77" s="7"/>
      <c r="K77" s="7"/>
      <c r="L77" s="7"/>
      <c r="M77" s="7"/>
      <c r="N77" s="7"/>
      <c r="O77" s="7"/>
      <c r="P77" s="7">
        <f t="shared" si="123"/>
        <v>0</v>
      </c>
      <c r="Q77" s="7">
        <f t="shared" si="124"/>
        <v>0</v>
      </c>
    </row>
    <row r="78" spans="1:17" x14ac:dyDescent="0.15">
      <c r="A78" s="25"/>
      <c r="B78" s="8" t="s">
        <v>23</v>
      </c>
      <c r="C78" s="7">
        <f>SUM(C70:C77)</f>
        <v>335440</v>
      </c>
      <c r="D78" s="7">
        <f t="shared" ref="D78" si="125">SUM(D70:D77)</f>
        <v>0</v>
      </c>
      <c r="E78" s="7">
        <f t="shared" ref="E78" si="126">SUM(E70:E77)</f>
        <v>0</v>
      </c>
      <c r="F78" s="7">
        <f t="shared" ref="F78" si="127">SUM(F70:F77)</f>
        <v>0</v>
      </c>
      <c r="G78" s="7">
        <f t="shared" ref="G78" si="128">SUM(G70:G77)</f>
        <v>0</v>
      </c>
      <c r="H78" s="7">
        <f t="shared" ref="H78" si="129">SUM(H70:H77)</f>
        <v>0</v>
      </c>
      <c r="I78" s="7">
        <f t="shared" si="122"/>
        <v>335440</v>
      </c>
      <c r="J78" s="7">
        <f>SUM(J70:J77)</f>
        <v>0</v>
      </c>
      <c r="K78" s="7">
        <f>SUM(K70:K77)</f>
        <v>0</v>
      </c>
      <c r="L78" s="7">
        <f t="shared" ref="L78" si="130">SUM(L70:L77)</f>
        <v>0</v>
      </c>
      <c r="M78" s="7">
        <f t="shared" ref="M78" si="131">SUM(M70:M77)</f>
        <v>0</v>
      </c>
      <c r="N78" s="7">
        <f t="shared" ref="N78" si="132">SUM(N70:N77)</f>
        <v>0</v>
      </c>
      <c r="O78" s="7">
        <f t="shared" ref="O78" si="133">SUM(O70:O77)</f>
        <v>0</v>
      </c>
      <c r="P78" s="7">
        <f t="shared" ref="P78:P79" si="134">SUM(P70:P77)</f>
        <v>0</v>
      </c>
      <c r="Q78" s="7">
        <f t="shared" ref="Q78:Q79" si="135">SUM(K78:P78)</f>
        <v>0</v>
      </c>
    </row>
    <row r="79" spans="1:17" x14ac:dyDescent="0.15">
      <c r="A79" s="25"/>
      <c r="B79" s="7" t="s">
        <v>24</v>
      </c>
      <c r="C79" s="7"/>
      <c r="D79" s="7"/>
      <c r="E79" s="7"/>
      <c r="F79" s="7"/>
      <c r="G79" s="7"/>
      <c r="H79" s="7"/>
      <c r="I79" s="7">
        <f t="shared" si="122"/>
        <v>0</v>
      </c>
      <c r="J79" s="7"/>
      <c r="K79" s="7"/>
      <c r="L79" s="7"/>
      <c r="M79" s="7"/>
      <c r="N79" s="7"/>
      <c r="O79" s="7"/>
      <c r="P79" s="7">
        <f t="shared" si="134"/>
        <v>0</v>
      </c>
      <c r="Q79" s="7">
        <f t="shared" si="135"/>
        <v>0</v>
      </c>
    </row>
    <row r="80" spans="1:17" x14ac:dyDescent="0.15">
      <c r="A80" s="30"/>
      <c r="B80" s="9" t="s">
        <v>14</v>
      </c>
      <c r="C80" s="10">
        <f>+C78+C79</f>
        <v>335440</v>
      </c>
      <c r="D80" s="10">
        <f t="shared" ref="D80:J80" si="136">+D78+D79</f>
        <v>0</v>
      </c>
      <c r="E80" s="10">
        <f t="shared" si="136"/>
        <v>0</v>
      </c>
      <c r="F80" s="10">
        <f t="shared" si="136"/>
        <v>0</v>
      </c>
      <c r="G80" s="10">
        <f t="shared" si="136"/>
        <v>0</v>
      </c>
      <c r="H80" s="10">
        <f t="shared" si="136"/>
        <v>0</v>
      </c>
      <c r="I80" s="10">
        <f t="shared" ref="I80" si="137">SUM(I79)</f>
        <v>0</v>
      </c>
      <c r="J80" s="10">
        <f t="shared" si="136"/>
        <v>0</v>
      </c>
      <c r="K80" s="10">
        <f t="shared" ref="K80" si="138">+K78+K79</f>
        <v>0</v>
      </c>
      <c r="L80" s="10">
        <f t="shared" ref="L80" si="139">+L78+L79</f>
        <v>0</v>
      </c>
      <c r="M80" s="10">
        <f t="shared" ref="M80" si="140">+M78+M79</f>
        <v>0</v>
      </c>
      <c r="N80" s="10">
        <f t="shared" ref="N80" si="141">+N78+N79</f>
        <v>0</v>
      </c>
      <c r="O80" s="10">
        <f t="shared" ref="O80" si="142">+O78+O79</f>
        <v>0</v>
      </c>
      <c r="P80" s="10">
        <f t="shared" ref="P80" si="143">SUM(P79)</f>
        <v>0</v>
      </c>
      <c r="Q80" s="10">
        <f t="shared" ref="Q80" si="144">SUM(Q79)</f>
        <v>0</v>
      </c>
    </row>
  </sheetData>
  <mergeCells count="8">
    <mergeCell ref="A48:A58"/>
    <mergeCell ref="A59:A69"/>
    <mergeCell ref="A70:A80"/>
    <mergeCell ref="A3:A11"/>
    <mergeCell ref="A12:A20"/>
    <mergeCell ref="A21:A29"/>
    <mergeCell ref="A30:A38"/>
    <mergeCell ref="A39:A47"/>
  </mergeCells>
  <phoneticPr fontId="2"/>
  <pageMargins left="0.51181102362204722" right="0" top="0.35433070866141736" bottom="0" header="0.31496062992125984" footer="0.31496062992125984"/>
  <pageSetup paperSize="8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H51"/>
  <sheetViews>
    <sheetView topLeftCell="E1" workbookViewId="0">
      <selection activeCell="O13" sqref="O13"/>
    </sheetView>
  </sheetViews>
  <sheetFormatPr defaultRowHeight="13.5" x14ac:dyDescent="0.15"/>
  <cols>
    <col min="1" max="1" width="9" style="17"/>
    <col min="2" max="2" width="11.5" style="17" bestFit="1" customWidth="1"/>
    <col min="3" max="14" width="9" style="17"/>
    <col min="15" max="15" width="9.25" style="17" bestFit="1" customWidth="1"/>
    <col min="16" max="20" width="9.125" style="17" bestFit="1" customWidth="1"/>
    <col min="21" max="21" width="9.25" style="17" bestFit="1" customWidth="1"/>
    <col min="22" max="26" width="9.125" style="17" bestFit="1" customWidth="1"/>
    <col min="27" max="27" width="9.25" style="17" bestFit="1" customWidth="1"/>
    <col min="28" max="32" width="9.125" style="17" bestFit="1" customWidth="1"/>
    <col min="33" max="33" width="9.25" style="17" bestFit="1" customWidth="1"/>
    <col min="34" max="38" width="9.125" style="17" bestFit="1" customWidth="1"/>
    <col min="39" max="39" width="9.25" style="17" bestFit="1" customWidth="1"/>
    <col min="40" max="44" width="9.125" style="17" bestFit="1" customWidth="1"/>
    <col min="45" max="45" width="9.25" style="17" bestFit="1" customWidth="1"/>
    <col min="46" max="50" width="9.125" style="17" bestFit="1" customWidth="1"/>
    <col min="51" max="51" width="9.25" style="17" bestFit="1" customWidth="1"/>
    <col min="52" max="56" width="9.125" style="17" bestFit="1" customWidth="1"/>
    <col min="57" max="57" width="9.25" style="17" bestFit="1" customWidth="1"/>
    <col min="58" max="62" width="9.125" style="17" bestFit="1" customWidth="1"/>
    <col min="63" max="63" width="9.25" style="17" bestFit="1" customWidth="1"/>
    <col min="64" max="68" width="9.125" style="17" bestFit="1" customWidth="1"/>
    <col min="69" max="69" width="9.25" style="17" bestFit="1" customWidth="1"/>
    <col min="70" max="74" width="9.125" style="17" bestFit="1" customWidth="1"/>
    <col min="75" max="75" width="9.25" style="17" bestFit="1" customWidth="1"/>
    <col min="76" max="80" width="9.125" style="17" bestFit="1" customWidth="1"/>
    <col min="81" max="81" width="9.25" style="17" bestFit="1" customWidth="1"/>
    <col min="82" max="86" width="9.125" style="17" bestFit="1" customWidth="1"/>
    <col min="87" max="16384" width="9" style="17"/>
  </cols>
  <sheetData>
    <row r="1" spans="2:86" x14ac:dyDescent="0.15">
      <c r="O1" s="34" t="s">
        <v>46</v>
      </c>
      <c r="P1" s="34"/>
      <c r="Q1" s="34"/>
      <c r="R1" s="34"/>
      <c r="S1" s="34"/>
      <c r="T1" s="34"/>
      <c r="U1" s="34" t="s">
        <v>47</v>
      </c>
      <c r="V1" s="34"/>
      <c r="W1" s="34"/>
      <c r="X1" s="34"/>
      <c r="Y1" s="34"/>
      <c r="Z1" s="34"/>
      <c r="AA1" s="34" t="s">
        <v>48</v>
      </c>
      <c r="AB1" s="34"/>
      <c r="AC1" s="34"/>
      <c r="AD1" s="34"/>
      <c r="AE1" s="34"/>
      <c r="AF1" s="34"/>
      <c r="AG1" s="34" t="s">
        <v>36</v>
      </c>
      <c r="AH1" s="34"/>
      <c r="AI1" s="34"/>
      <c r="AJ1" s="34"/>
      <c r="AK1" s="34"/>
      <c r="AL1" s="34"/>
      <c r="AM1" s="34" t="s">
        <v>37</v>
      </c>
      <c r="AN1" s="34"/>
      <c r="AO1" s="34"/>
      <c r="AP1" s="34"/>
      <c r="AQ1" s="34"/>
      <c r="AR1" s="34"/>
      <c r="AS1" s="34" t="s">
        <v>38</v>
      </c>
      <c r="AT1" s="34"/>
      <c r="AU1" s="34"/>
      <c r="AV1" s="34"/>
      <c r="AW1" s="34"/>
      <c r="AX1" s="34"/>
      <c r="AY1" s="34" t="s">
        <v>39</v>
      </c>
      <c r="AZ1" s="34"/>
      <c r="BA1" s="34"/>
      <c r="BB1" s="34"/>
      <c r="BC1" s="34"/>
      <c r="BD1" s="34"/>
      <c r="BE1" s="34" t="s">
        <v>40</v>
      </c>
      <c r="BF1" s="34"/>
      <c r="BG1" s="34"/>
      <c r="BH1" s="34"/>
      <c r="BI1" s="34"/>
      <c r="BJ1" s="34"/>
      <c r="BK1" s="34" t="s">
        <v>41</v>
      </c>
      <c r="BL1" s="34"/>
      <c r="BM1" s="34"/>
      <c r="BN1" s="34"/>
      <c r="BO1" s="34"/>
      <c r="BP1" s="34"/>
      <c r="BQ1" s="34" t="s">
        <v>42</v>
      </c>
      <c r="BR1" s="34"/>
      <c r="BS1" s="34"/>
      <c r="BT1" s="34"/>
      <c r="BU1" s="34"/>
      <c r="BV1" s="34"/>
      <c r="BW1" s="34" t="s">
        <v>43</v>
      </c>
      <c r="BX1" s="34"/>
      <c r="BY1" s="34"/>
      <c r="BZ1" s="34"/>
      <c r="CA1" s="34"/>
      <c r="CB1" s="34"/>
      <c r="CC1" s="34" t="s">
        <v>44</v>
      </c>
      <c r="CD1" s="34"/>
      <c r="CE1" s="34"/>
      <c r="CF1" s="34"/>
      <c r="CG1" s="34"/>
      <c r="CH1" s="34"/>
    </row>
    <row r="2" spans="2:86" ht="54" x14ac:dyDescent="0.15">
      <c r="B2" s="18" t="s">
        <v>144</v>
      </c>
      <c r="D2" s="17" t="s">
        <v>49</v>
      </c>
      <c r="E2" s="17" t="s">
        <v>50</v>
      </c>
      <c r="F2" s="17" t="s">
        <v>51</v>
      </c>
      <c r="G2" s="17" t="s">
        <v>145</v>
      </c>
      <c r="H2" s="17" t="s">
        <v>146</v>
      </c>
      <c r="I2" s="17" t="s">
        <v>52</v>
      </c>
      <c r="J2" s="17" t="s">
        <v>53</v>
      </c>
      <c r="K2" s="17" t="s">
        <v>54</v>
      </c>
      <c r="L2" s="17" t="s">
        <v>55</v>
      </c>
      <c r="M2" s="17" t="s">
        <v>56</v>
      </c>
      <c r="N2" s="17" t="s">
        <v>57</v>
      </c>
      <c r="O2" s="17" t="s">
        <v>58</v>
      </c>
      <c r="P2" s="17" t="s">
        <v>59</v>
      </c>
      <c r="Q2" s="17" t="s">
        <v>60</v>
      </c>
      <c r="R2" s="17" t="s">
        <v>61</v>
      </c>
      <c r="S2" s="17" t="s">
        <v>34</v>
      </c>
      <c r="T2" s="17" t="s">
        <v>35</v>
      </c>
      <c r="U2" s="17" t="s">
        <v>58</v>
      </c>
      <c r="V2" s="17" t="s">
        <v>59</v>
      </c>
      <c r="W2" s="17" t="s">
        <v>60</v>
      </c>
      <c r="X2" s="17" t="s">
        <v>61</v>
      </c>
      <c r="Y2" s="17" t="s">
        <v>34</v>
      </c>
      <c r="Z2" s="17" t="s">
        <v>35</v>
      </c>
      <c r="AA2" s="17" t="s">
        <v>58</v>
      </c>
      <c r="AB2" s="17" t="s">
        <v>59</v>
      </c>
      <c r="AC2" s="17" t="s">
        <v>60</v>
      </c>
      <c r="AD2" s="17" t="s">
        <v>61</v>
      </c>
      <c r="AE2" s="17" t="s">
        <v>34</v>
      </c>
      <c r="AF2" s="17" t="s">
        <v>35</v>
      </c>
      <c r="AG2" s="17" t="s">
        <v>58</v>
      </c>
      <c r="AH2" s="17" t="s">
        <v>59</v>
      </c>
      <c r="AI2" s="17" t="s">
        <v>60</v>
      </c>
      <c r="AJ2" s="17" t="s">
        <v>61</v>
      </c>
      <c r="AK2" s="17" t="s">
        <v>34</v>
      </c>
      <c r="AL2" s="17" t="s">
        <v>35</v>
      </c>
      <c r="AM2" s="17" t="s">
        <v>58</v>
      </c>
      <c r="AN2" s="17" t="s">
        <v>59</v>
      </c>
      <c r="AO2" s="17" t="s">
        <v>60</v>
      </c>
      <c r="AP2" s="17" t="s">
        <v>61</v>
      </c>
      <c r="AQ2" s="17" t="s">
        <v>34</v>
      </c>
      <c r="AR2" s="17" t="s">
        <v>35</v>
      </c>
      <c r="AS2" s="17" t="s">
        <v>58</v>
      </c>
      <c r="AT2" s="17" t="s">
        <v>59</v>
      </c>
      <c r="AU2" s="17" t="s">
        <v>60</v>
      </c>
      <c r="AV2" s="17" t="s">
        <v>61</v>
      </c>
      <c r="AW2" s="17" t="s">
        <v>34</v>
      </c>
      <c r="AX2" s="17" t="s">
        <v>35</v>
      </c>
      <c r="AY2" s="17" t="s">
        <v>58</v>
      </c>
      <c r="AZ2" s="17" t="s">
        <v>59</v>
      </c>
      <c r="BA2" s="17" t="s">
        <v>60</v>
      </c>
      <c r="BB2" s="17" t="s">
        <v>61</v>
      </c>
      <c r="BC2" s="17" t="s">
        <v>34</v>
      </c>
      <c r="BD2" s="17" t="s">
        <v>35</v>
      </c>
      <c r="BE2" s="17" t="s">
        <v>58</v>
      </c>
      <c r="BF2" s="17" t="s">
        <v>59</v>
      </c>
      <c r="BG2" s="17" t="s">
        <v>60</v>
      </c>
      <c r="BH2" s="17" t="s">
        <v>61</v>
      </c>
      <c r="BI2" s="17" t="s">
        <v>34</v>
      </c>
      <c r="BJ2" s="17" t="s">
        <v>35</v>
      </c>
      <c r="BK2" s="17" t="s">
        <v>58</v>
      </c>
      <c r="BL2" s="17" t="s">
        <v>59</v>
      </c>
      <c r="BM2" s="17" t="s">
        <v>60</v>
      </c>
      <c r="BN2" s="17" t="s">
        <v>61</v>
      </c>
      <c r="BO2" s="17" t="s">
        <v>34</v>
      </c>
      <c r="BP2" s="17" t="s">
        <v>35</v>
      </c>
      <c r="BQ2" s="17" t="s">
        <v>58</v>
      </c>
      <c r="BR2" s="17" t="s">
        <v>59</v>
      </c>
      <c r="BS2" s="17" t="s">
        <v>60</v>
      </c>
      <c r="BT2" s="17" t="s">
        <v>61</v>
      </c>
      <c r="BU2" s="17" t="s">
        <v>34</v>
      </c>
      <c r="BV2" s="17" t="s">
        <v>35</v>
      </c>
      <c r="BW2" s="17" t="s">
        <v>58</v>
      </c>
      <c r="BX2" s="17" t="s">
        <v>59</v>
      </c>
      <c r="BY2" s="17" t="s">
        <v>60</v>
      </c>
      <c r="BZ2" s="17" t="s">
        <v>61</v>
      </c>
      <c r="CA2" s="17" t="s">
        <v>34</v>
      </c>
      <c r="CB2" s="17" t="s">
        <v>35</v>
      </c>
      <c r="CC2" s="17" t="s">
        <v>58</v>
      </c>
      <c r="CD2" s="17" t="s">
        <v>59</v>
      </c>
      <c r="CE2" s="17" t="s">
        <v>60</v>
      </c>
      <c r="CF2" s="17" t="s">
        <v>61</v>
      </c>
      <c r="CG2" s="17" t="s">
        <v>34</v>
      </c>
      <c r="CH2" s="17" t="s">
        <v>35</v>
      </c>
    </row>
    <row r="3" spans="2:86" x14ac:dyDescent="0.15">
      <c r="B3" s="17">
        <v>0</v>
      </c>
      <c r="C3" s="17" t="s">
        <v>62</v>
      </c>
      <c r="D3" s="17">
        <v>1125</v>
      </c>
      <c r="E3" s="17" t="s">
        <v>64</v>
      </c>
      <c r="F3" s="17" t="s">
        <v>65</v>
      </c>
      <c r="G3" s="17">
        <v>4</v>
      </c>
      <c r="H3" s="17" t="s">
        <v>147</v>
      </c>
      <c r="I3" s="17">
        <v>6</v>
      </c>
      <c r="J3" s="17" t="s">
        <v>73</v>
      </c>
      <c r="K3" s="17">
        <v>0</v>
      </c>
      <c r="M3" s="17">
        <v>42100</v>
      </c>
      <c r="N3" s="17" t="s">
        <v>63</v>
      </c>
      <c r="O3" s="19">
        <v>322500</v>
      </c>
      <c r="P3" s="19">
        <v>116667</v>
      </c>
      <c r="Q3" s="19">
        <v>3929</v>
      </c>
      <c r="R3" s="19">
        <v>59480</v>
      </c>
      <c r="S3" s="19">
        <v>67083</v>
      </c>
      <c r="T3" s="19">
        <v>-5619</v>
      </c>
      <c r="U3" s="19">
        <v>322500</v>
      </c>
      <c r="V3" s="19">
        <v>116667</v>
      </c>
      <c r="W3" s="19">
        <v>3983</v>
      </c>
      <c r="X3" s="19">
        <v>59480</v>
      </c>
      <c r="Y3" s="19">
        <v>67083</v>
      </c>
      <c r="Z3" s="19">
        <v>0</v>
      </c>
      <c r="AA3" s="19">
        <v>322500</v>
      </c>
      <c r="AB3" s="19">
        <v>116667</v>
      </c>
      <c r="AC3" s="19">
        <v>3983</v>
      </c>
      <c r="AD3" s="19">
        <v>59480</v>
      </c>
      <c r="AE3" s="19">
        <v>67083</v>
      </c>
      <c r="AF3" s="19">
        <v>0</v>
      </c>
      <c r="AG3" s="19">
        <v>322500</v>
      </c>
      <c r="AH3" s="19">
        <v>116667</v>
      </c>
      <c r="AI3" s="19">
        <v>3983</v>
      </c>
      <c r="AJ3" s="19">
        <v>59480</v>
      </c>
      <c r="AK3" s="19">
        <v>67083</v>
      </c>
      <c r="AL3" s="19">
        <v>0</v>
      </c>
      <c r="AM3" s="19">
        <v>322500</v>
      </c>
      <c r="AN3" s="19">
        <v>116667</v>
      </c>
      <c r="AO3" s="19">
        <v>3983</v>
      </c>
      <c r="AP3" s="19">
        <v>64794</v>
      </c>
      <c r="AQ3" s="19">
        <v>67083</v>
      </c>
      <c r="AR3" s="19">
        <v>0</v>
      </c>
      <c r="AS3" s="19">
        <v>322500</v>
      </c>
      <c r="AT3" s="19">
        <v>116667</v>
      </c>
      <c r="AU3" s="19">
        <v>3983</v>
      </c>
      <c r="AV3" s="19">
        <v>64794</v>
      </c>
      <c r="AW3" s="19">
        <v>67083</v>
      </c>
      <c r="AX3" s="19">
        <v>0</v>
      </c>
      <c r="AY3" s="19">
        <v>322500</v>
      </c>
      <c r="AZ3" s="19">
        <v>116667</v>
      </c>
      <c r="BA3" s="19">
        <v>3983</v>
      </c>
      <c r="BB3" s="19">
        <v>65342</v>
      </c>
      <c r="BC3" s="19">
        <v>67083</v>
      </c>
      <c r="BD3" s="19">
        <v>0</v>
      </c>
      <c r="BE3" s="19">
        <v>322500</v>
      </c>
      <c r="BF3" s="19">
        <v>116667</v>
      </c>
      <c r="BG3" s="19">
        <v>3983</v>
      </c>
      <c r="BH3" s="19">
        <v>65342</v>
      </c>
      <c r="BI3" s="19">
        <v>67083</v>
      </c>
      <c r="BJ3" s="19">
        <v>0</v>
      </c>
      <c r="BK3" s="19">
        <v>322500</v>
      </c>
      <c r="BL3" s="19">
        <v>116667</v>
      </c>
      <c r="BM3" s="19">
        <v>3983</v>
      </c>
      <c r="BN3" s="19">
        <v>65342</v>
      </c>
      <c r="BO3" s="19">
        <v>67083</v>
      </c>
      <c r="BP3" s="19">
        <v>0</v>
      </c>
      <c r="BQ3" s="19">
        <v>275000</v>
      </c>
      <c r="BR3" s="19">
        <v>116667</v>
      </c>
      <c r="BS3" s="19">
        <v>4202</v>
      </c>
      <c r="BT3" s="19">
        <v>59466</v>
      </c>
      <c r="BU3" s="19">
        <v>67083</v>
      </c>
      <c r="BV3" s="19">
        <v>19670</v>
      </c>
      <c r="BW3" s="19">
        <v>275000</v>
      </c>
      <c r="BX3" s="19">
        <v>116667</v>
      </c>
      <c r="BY3" s="19">
        <v>3996</v>
      </c>
      <c r="BZ3" s="19">
        <v>59466</v>
      </c>
      <c r="CA3" s="19">
        <v>67083</v>
      </c>
      <c r="CB3" s="19">
        <v>0</v>
      </c>
      <c r="CC3" s="19">
        <v>275000</v>
      </c>
      <c r="CD3" s="19">
        <v>116667</v>
      </c>
      <c r="CE3" s="19">
        <v>3996</v>
      </c>
      <c r="CF3" s="19">
        <v>59466</v>
      </c>
      <c r="CG3" s="19">
        <v>67083</v>
      </c>
      <c r="CH3" s="19">
        <v>0</v>
      </c>
    </row>
    <row r="4" spans="2:86" x14ac:dyDescent="0.15">
      <c r="B4" s="17">
        <v>0</v>
      </c>
      <c r="C4" s="17" t="s">
        <v>62</v>
      </c>
      <c r="D4" s="17">
        <v>1174</v>
      </c>
      <c r="E4" s="17" t="s">
        <v>71</v>
      </c>
      <c r="F4" s="17" t="s">
        <v>72</v>
      </c>
      <c r="G4" s="17">
        <v>12</v>
      </c>
      <c r="H4" s="17" t="s">
        <v>149</v>
      </c>
      <c r="I4" s="17">
        <v>6</v>
      </c>
      <c r="J4" s="17" t="s">
        <v>73</v>
      </c>
      <c r="K4" s="17">
        <v>0</v>
      </c>
      <c r="M4" s="17">
        <v>42100</v>
      </c>
      <c r="N4" s="17" t="s">
        <v>63</v>
      </c>
      <c r="O4" s="19">
        <v>422000</v>
      </c>
      <c r="P4" s="19">
        <v>122166</v>
      </c>
      <c r="Q4" s="19">
        <v>6155</v>
      </c>
      <c r="R4" s="19">
        <v>84239</v>
      </c>
      <c r="S4" s="19">
        <v>11697</v>
      </c>
      <c r="T4" s="19">
        <v>108070</v>
      </c>
      <c r="U4" s="19">
        <v>422000</v>
      </c>
      <c r="V4" s="19">
        <v>122166</v>
      </c>
      <c r="W4" s="19">
        <v>5127</v>
      </c>
      <c r="X4" s="19">
        <v>84239</v>
      </c>
      <c r="Y4" s="19">
        <v>11697</v>
      </c>
      <c r="Z4" s="19">
        <v>0</v>
      </c>
      <c r="AA4" s="19">
        <v>426300</v>
      </c>
      <c r="AB4" s="19">
        <v>122166</v>
      </c>
      <c r="AC4" s="19">
        <v>5250</v>
      </c>
      <c r="AD4" s="19">
        <v>84239</v>
      </c>
      <c r="AE4" s="19">
        <v>11697</v>
      </c>
      <c r="AF4" s="19">
        <v>0</v>
      </c>
      <c r="AG4" s="19">
        <v>426300</v>
      </c>
      <c r="AH4" s="19">
        <v>122166</v>
      </c>
      <c r="AI4" s="19">
        <v>6195</v>
      </c>
      <c r="AJ4" s="19">
        <v>84239</v>
      </c>
      <c r="AK4" s="19">
        <v>11697</v>
      </c>
      <c r="AL4" s="19">
        <v>108070</v>
      </c>
      <c r="AM4" s="19">
        <v>426300</v>
      </c>
      <c r="AN4" s="19">
        <v>122166</v>
      </c>
      <c r="AO4" s="19">
        <v>5169</v>
      </c>
      <c r="AP4" s="19">
        <v>84239</v>
      </c>
      <c r="AQ4" s="19">
        <v>11697</v>
      </c>
      <c r="AR4" s="19">
        <v>0</v>
      </c>
      <c r="AS4" s="19">
        <v>426300</v>
      </c>
      <c r="AT4" s="19">
        <v>122166</v>
      </c>
      <c r="AU4" s="19">
        <v>5169</v>
      </c>
      <c r="AV4" s="19">
        <v>84239</v>
      </c>
      <c r="AW4" s="19">
        <v>11697</v>
      </c>
      <c r="AX4" s="19">
        <v>0</v>
      </c>
      <c r="AY4" s="19">
        <v>426300</v>
      </c>
      <c r="AZ4" s="19">
        <v>122166</v>
      </c>
      <c r="BA4" s="19">
        <v>6195</v>
      </c>
      <c r="BB4" s="19">
        <v>89505</v>
      </c>
      <c r="BC4" s="19">
        <v>11697</v>
      </c>
      <c r="BD4" s="19">
        <v>108070</v>
      </c>
      <c r="BE4" s="19">
        <v>426300</v>
      </c>
      <c r="BF4" s="19">
        <v>122166</v>
      </c>
      <c r="BG4" s="19">
        <v>5169</v>
      </c>
      <c r="BH4" s="19">
        <v>89505</v>
      </c>
      <c r="BI4" s="19">
        <v>11697</v>
      </c>
      <c r="BJ4" s="19">
        <v>0</v>
      </c>
      <c r="BK4" s="19">
        <v>426300</v>
      </c>
      <c r="BL4" s="19">
        <v>122166</v>
      </c>
      <c r="BM4" s="19">
        <v>5169</v>
      </c>
      <c r="BN4" s="19">
        <v>89505</v>
      </c>
      <c r="BO4" s="19">
        <v>11697</v>
      </c>
      <c r="BP4" s="19">
        <v>0</v>
      </c>
      <c r="BQ4" s="19">
        <v>422000</v>
      </c>
      <c r="BR4" s="19">
        <v>122166</v>
      </c>
      <c r="BS4" s="19">
        <v>6680</v>
      </c>
      <c r="BT4" s="19">
        <v>84217</v>
      </c>
      <c r="BU4" s="19">
        <v>11697</v>
      </c>
      <c r="BV4" s="19">
        <v>108070</v>
      </c>
      <c r="BW4" s="19">
        <v>422000</v>
      </c>
      <c r="BX4" s="19">
        <v>122166</v>
      </c>
      <c r="BY4" s="19">
        <v>5545</v>
      </c>
      <c r="BZ4" s="19">
        <v>84217</v>
      </c>
      <c r="CA4" s="19">
        <v>11697</v>
      </c>
      <c r="CB4" s="19">
        <v>0</v>
      </c>
      <c r="CC4" s="19">
        <v>422000</v>
      </c>
      <c r="CD4" s="19">
        <v>122166</v>
      </c>
      <c r="CE4" s="19">
        <v>5545</v>
      </c>
      <c r="CF4" s="19">
        <v>84217</v>
      </c>
      <c r="CG4" s="19">
        <v>11697</v>
      </c>
      <c r="CH4" s="19">
        <v>0</v>
      </c>
    </row>
    <row r="5" spans="2:86" x14ac:dyDescent="0.15">
      <c r="B5" s="17">
        <v>0</v>
      </c>
      <c r="C5" s="17" t="s">
        <v>62</v>
      </c>
      <c r="D5" s="17">
        <v>1156</v>
      </c>
      <c r="E5" s="17" t="s">
        <v>78</v>
      </c>
      <c r="F5" s="17" t="s">
        <v>79</v>
      </c>
      <c r="G5" s="17">
        <v>14</v>
      </c>
      <c r="H5" s="17" t="s">
        <v>151</v>
      </c>
      <c r="I5" s="17">
        <v>6</v>
      </c>
      <c r="J5" s="17" t="s">
        <v>73</v>
      </c>
      <c r="K5" s="17">
        <v>0</v>
      </c>
      <c r="M5" s="17">
        <v>42100</v>
      </c>
      <c r="N5" s="17" t="s">
        <v>63</v>
      </c>
      <c r="O5" s="19">
        <v>384800</v>
      </c>
      <c r="P5" s="19">
        <v>106000</v>
      </c>
      <c r="Q5" s="19">
        <v>5292</v>
      </c>
      <c r="R5" s="19">
        <v>77266</v>
      </c>
      <c r="S5" s="19">
        <v>17839</v>
      </c>
      <c r="T5" s="19">
        <v>70140</v>
      </c>
      <c r="U5" s="19">
        <v>384800</v>
      </c>
      <c r="V5" s="19">
        <v>106000</v>
      </c>
      <c r="W5" s="19">
        <v>4627</v>
      </c>
      <c r="X5" s="19">
        <v>77266</v>
      </c>
      <c r="Y5" s="19">
        <v>17839</v>
      </c>
      <c r="Z5" s="19">
        <v>0</v>
      </c>
      <c r="AA5" s="19">
        <v>387500</v>
      </c>
      <c r="AB5" s="19">
        <v>106000</v>
      </c>
      <c r="AC5" s="19">
        <v>4703</v>
      </c>
      <c r="AD5" s="19">
        <v>77266</v>
      </c>
      <c r="AE5" s="19">
        <v>17839</v>
      </c>
      <c r="AF5" s="19">
        <v>0</v>
      </c>
      <c r="AG5" s="19">
        <v>387500</v>
      </c>
      <c r="AH5" s="19">
        <v>106000</v>
      </c>
      <c r="AI5" s="19">
        <v>5318</v>
      </c>
      <c r="AJ5" s="19">
        <v>77266</v>
      </c>
      <c r="AK5" s="19">
        <v>17839</v>
      </c>
      <c r="AL5" s="19">
        <v>70140</v>
      </c>
      <c r="AM5" s="19">
        <v>387500</v>
      </c>
      <c r="AN5" s="19">
        <v>106000</v>
      </c>
      <c r="AO5" s="19">
        <v>4651</v>
      </c>
      <c r="AP5" s="19">
        <v>77266</v>
      </c>
      <c r="AQ5" s="19">
        <v>17839</v>
      </c>
      <c r="AR5" s="19">
        <v>0</v>
      </c>
      <c r="AS5" s="19">
        <v>387500</v>
      </c>
      <c r="AT5" s="19">
        <v>106000</v>
      </c>
      <c r="AU5" s="19">
        <v>4651</v>
      </c>
      <c r="AV5" s="19">
        <v>77266</v>
      </c>
      <c r="AW5" s="19">
        <v>17839</v>
      </c>
      <c r="AX5" s="19">
        <v>0</v>
      </c>
      <c r="AY5" s="19">
        <v>387500</v>
      </c>
      <c r="AZ5" s="19">
        <v>106000</v>
      </c>
      <c r="BA5" s="19">
        <v>5318</v>
      </c>
      <c r="BB5" s="19">
        <v>77992</v>
      </c>
      <c r="BC5" s="19">
        <v>17839</v>
      </c>
      <c r="BD5" s="19">
        <v>70140</v>
      </c>
      <c r="BE5" s="19">
        <v>387500</v>
      </c>
      <c r="BF5" s="19">
        <v>106000</v>
      </c>
      <c r="BG5" s="19">
        <v>4651</v>
      </c>
      <c r="BH5" s="19">
        <v>77992</v>
      </c>
      <c r="BI5" s="19">
        <v>17839</v>
      </c>
      <c r="BJ5" s="19">
        <v>0</v>
      </c>
      <c r="BK5" s="19">
        <v>387500</v>
      </c>
      <c r="BL5" s="19">
        <v>106000</v>
      </c>
      <c r="BM5" s="19">
        <v>4651</v>
      </c>
      <c r="BN5" s="19">
        <v>77992</v>
      </c>
      <c r="BO5" s="19">
        <v>17839</v>
      </c>
      <c r="BP5" s="19">
        <v>0</v>
      </c>
      <c r="BQ5" s="19">
        <v>384800</v>
      </c>
      <c r="BR5" s="19">
        <v>106000</v>
      </c>
      <c r="BS5" s="19">
        <v>5743</v>
      </c>
      <c r="BT5" s="19">
        <v>77245</v>
      </c>
      <c r="BU5" s="19">
        <v>17839</v>
      </c>
      <c r="BV5" s="19">
        <v>70140</v>
      </c>
      <c r="BW5" s="19">
        <v>384800</v>
      </c>
      <c r="BX5" s="19">
        <v>106000</v>
      </c>
      <c r="BY5" s="19">
        <v>5008</v>
      </c>
      <c r="BZ5" s="19">
        <v>77245</v>
      </c>
      <c r="CA5" s="19">
        <v>17839</v>
      </c>
      <c r="CB5" s="19">
        <v>0</v>
      </c>
      <c r="CC5" s="19">
        <v>384800</v>
      </c>
      <c r="CD5" s="19">
        <v>106000</v>
      </c>
      <c r="CE5" s="19">
        <v>5008</v>
      </c>
      <c r="CF5" s="19">
        <v>77245</v>
      </c>
      <c r="CG5" s="19">
        <v>17839</v>
      </c>
      <c r="CH5" s="19">
        <v>0</v>
      </c>
    </row>
    <row r="6" spans="2:86" x14ac:dyDescent="0.15">
      <c r="B6" s="17">
        <v>0</v>
      </c>
      <c r="C6" s="17" t="s">
        <v>62</v>
      </c>
      <c r="D6" s="17">
        <v>1313</v>
      </c>
      <c r="E6" s="17" t="s">
        <v>76</v>
      </c>
      <c r="F6" s="17" t="s">
        <v>77</v>
      </c>
      <c r="G6" s="17">
        <v>14</v>
      </c>
      <c r="H6" s="17" t="s">
        <v>151</v>
      </c>
      <c r="I6" s="17">
        <v>6</v>
      </c>
      <c r="J6" s="17" t="s">
        <v>73</v>
      </c>
      <c r="K6" s="17">
        <v>0</v>
      </c>
      <c r="M6" s="17">
        <v>42100</v>
      </c>
      <c r="N6" s="17" t="s">
        <v>63</v>
      </c>
      <c r="O6" s="19">
        <v>198250</v>
      </c>
      <c r="P6" s="19">
        <v>56250</v>
      </c>
      <c r="Q6" s="19">
        <v>2824</v>
      </c>
      <c r="R6" s="19">
        <v>39120</v>
      </c>
      <c r="S6" s="19">
        <v>9377</v>
      </c>
      <c r="T6" s="19">
        <v>44745</v>
      </c>
      <c r="U6" s="19">
        <v>198250</v>
      </c>
      <c r="V6" s="19">
        <v>56250</v>
      </c>
      <c r="W6" s="19">
        <v>2399</v>
      </c>
      <c r="X6" s="19">
        <v>39120</v>
      </c>
      <c r="Y6" s="19">
        <v>9377</v>
      </c>
      <c r="Z6" s="19">
        <v>0</v>
      </c>
      <c r="AA6" s="19">
        <v>198250</v>
      </c>
      <c r="AB6" s="19">
        <v>56250</v>
      </c>
      <c r="AC6" s="19">
        <v>2399</v>
      </c>
      <c r="AD6" s="19">
        <v>39120</v>
      </c>
      <c r="AE6" s="19">
        <v>9377</v>
      </c>
      <c r="AF6" s="19">
        <v>0</v>
      </c>
      <c r="AG6" s="19">
        <v>198250</v>
      </c>
      <c r="AH6" s="19">
        <v>56250</v>
      </c>
      <c r="AI6" s="19">
        <v>2824</v>
      </c>
      <c r="AJ6" s="19">
        <v>39120</v>
      </c>
      <c r="AK6" s="19">
        <v>9377</v>
      </c>
      <c r="AL6" s="19">
        <v>44745</v>
      </c>
      <c r="AM6" s="19">
        <v>198250</v>
      </c>
      <c r="AN6" s="19">
        <v>56250</v>
      </c>
      <c r="AO6" s="19">
        <v>2399</v>
      </c>
      <c r="AP6" s="19">
        <v>39120</v>
      </c>
      <c r="AQ6" s="19">
        <v>9377</v>
      </c>
      <c r="AR6" s="19">
        <v>0</v>
      </c>
      <c r="AS6" s="19">
        <v>198250</v>
      </c>
      <c r="AT6" s="19">
        <v>56250</v>
      </c>
      <c r="AU6" s="19">
        <v>2399</v>
      </c>
      <c r="AV6" s="19">
        <v>39120</v>
      </c>
      <c r="AW6" s="19">
        <v>9377</v>
      </c>
      <c r="AX6" s="19">
        <v>0</v>
      </c>
      <c r="AY6" s="19">
        <v>198250</v>
      </c>
      <c r="AZ6" s="19">
        <v>56250</v>
      </c>
      <c r="BA6" s="19">
        <v>2824</v>
      </c>
      <c r="BB6" s="19">
        <v>39483</v>
      </c>
      <c r="BC6" s="19">
        <v>9377</v>
      </c>
      <c r="BD6" s="19">
        <v>44745</v>
      </c>
      <c r="BE6" s="19">
        <v>198250</v>
      </c>
      <c r="BF6" s="19">
        <v>56250</v>
      </c>
      <c r="BG6" s="19">
        <v>2399</v>
      </c>
      <c r="BH6" s="19">
        <v>39483</v>
      </c>
      <c r="BI6" s="19">
        <v>9377</v>
      </c>
      <c r="BJ6" s="19">
        <v>0</v>
      </c>
      <c r="BK6" s="19">
        <v>198250</v>
      </c>
      <c r="BL6" s="19">
        <v>56250</v>
      </c>
      <c r="BM6" s="19">
        <v>2399</v>
      </c>
      <c r="BN6" s="19">
        <v>39483</v>
      </c>
      <c r="BO6" s="19">
        <v>9377</v>
      </c>
      <c r="BP6" s="19">
        <v>0</v>
      </c>
      <c r="BQ6" s="19">
        <v>198250</v>
      </c>
      <c r="BR6" s="19">
        <v>56250</v>
      </c>
      <c r="BS6" s="19">
        <v>3065</v>
      </c>
      <c r="BT6" s="19">
        <v>39109</v>
      </c>
      <c r="BU6" s="19">
        <v>9377</v>
      </c>
      <c r="BV6" s="19">
        <v>44745</v>
      </c>
      <c r="BW6" s="19">
        <v>198250</v>
      </c>
      <c r="BX6" s="19">
        <v>56250</v>
      </c>
      <c r="BY6" s="19">
        <v>2596</v>
      </c>
      <c r="BZ6" s="19">
        <v>39109</v>
      </c>
      <c r="CA6" s="19">
        <v>9377</v>
      </c>
      <c r="CB6" s="19">
        <v>0</v>
      </c>
      <c r="CC6" s="19">
        <v>198250</v>
      </c>
      <c r="CD6" s="19">
        <v>56250</v>
      </c>
      <c r="CE6" s="19">
        <v>2596</v>
      </c>
      <c r="CF6" s="19">
        <v>39109</v>
      </c>
      <c r="CG6" s="19">
        <v>9377</v>
      </c>
      <c r="CH6" s="19">
        <v>0</v>
      </c>
    </row>
    <row r="7" spans="2:86" x14ac:dyDescent="0.15">
      <c r="B7" s="17">
        <v>0</v>
      </c>
      <c r="C7" s="17" t="s">
        <v>62</v>
      </c>
      <c r="D7" s="17">
        <v>1133</v>
      </c>
      <c r="E7" s="17" t="s">
        <v>82</v>
      </c>
      <c r="F7" s="17" t="s">
        <v>83</v>
      </c>
      <c r="G7" s="17">
        <v>15</v>
      </c>
      <c r="H7" s="17" t="s">
        <v>152</v>
      </c>
      <c r="I7" s="17">
        <v>6</v>
      </c>
      <c r="J7" s="17" t="s">
        <v>73</v>
      </c>
      <c r="K7" s="17">
        <v>0</v>
      </c>
      <c r="M7" s="17">
        <v>42100</v>
      </c>
      <c r="N7" s="17" t="s">
        <v>63</v>
      </c>
      <c r="O7" s="19">
        <v>326400</v>
      </c>
      <c r="P7" s="19">
        <v>100166</v>
      </c>
      <c r="Q7" s="19">
        <v>4786</v>
      </c>
      <c r="R7" s="19">
        <v>65949</v>
      </c>
      <c r="S7" s="19">
        <v>9321</v>
      </c>
      <c r="T7" s="19">
        <v>81140</v>
      </c>
      <c r="U7" s="19">
        <v>326400</v>
      </c>
      <c r="V7" s="19">
        <v>100166</v>
      </c>
      <c r="W7" s="19">
        <v>4015</v>
      </c>
      <c r="X7" s="19">
        <v>65949</v>
      </c>
      <c r="Y7" s="19">
        <v>9321</v>
      </c>
      <c r="Z7" s="19">
        <v>0</v>
      </c>
      <c r="AA7" s="19">
        <v>330000</v>
      </c>
      <c r="AB7" s="19">
        <v>100166</v>
      </c>
      <c r="AC7" s="19">
        <v>4118</v>
      </c>
      <c r="AD7" s="19">
        <v>65949</v>
      </c>
      <c r="AE7" s="19">
        <v>9321</v>
      </c>
      <c r="AF7" s="19">
        <v>0</v>
      </c>
      <c r="AG7" s="19">
        <v>330000</v>
      </c>
      <c r="AH7" s="19">
        <v>100166</v>
      </c>
      <c r="AI7" s="19">
        <v>4820</v>
      </c>
      <c r="AJ7" s="19">
        <v>65949</v>
      </c>
      <c r="AK7" s="19">
        <v>9321</v>
      </c>
      <c r="AL7" s="19">
        <v>81140</v>
      </c>
      <c r="AM7" s="19">
        <v>330000</v>
      </c>
      <c r="AN7" s="19">
        <v>100166</v>
      </c>
      <c r="AO7" s="19">
        <v>4049</v>
      </c>
      <c r="AP7" s="19">
        <v>65949</v>
      </c>
      <c r="AQ7" s="19">
        <v>9321</v>
      </c>
      <c r="AR7" s="19">
        <v>0</v>
      </c>
      <c r="AS7" s="19">
        <v>330000</v>
      </c>
      <c r="AT7" s="19">
        <v>100166</v>
      </c>
      <c r="AU7" s="19">
        <v>4049</v>
      </c>
      <c r="AV7" s="19">
        <v>65949</v>
      </c>
      <c r="AW7" s="19">
        <v>9321</v>
      </c>
      <c r="AX7" s="19">
        <v>0</v>
      </c>
      <c r="AY7" s="19">
        <v>330000</v>
      </c>
      <c r="AZ7" s="19">
        <v>100166</v>
      </c>
      <c r="BA7" s="19">
        <v>4820</v>
      </c>
      <c r="BB7" s="19">
        <v>69542</v>
      </c>
      <c r="BC7" s="19">
        <v>9321</v>
      </c>
      <c r="BD7" s="19">
        <v>81140</v>
      </c>
      <c r="BE7" s="19">
        <v>330000</v>
      </c>
      <c r="BF7" s="19">
        <v>100166</v>
      </c>
      <c r="BG7" s="19">
        <v>4049</v>
      </c>
      <c r="BH7" s="19">
        <v>69542</v>
      </c>
      <c r="BI7" s="19">
        <v>9321</v>
      </c>
      <c r="BJ7" s="19">
        <v>0</v>
      </c>
      <c r="BK7" s="19">
        <v>330000</v>
      </c>
      <c r="BL7" s="19">
        <v>100166</v>
      </c>
      <c r="BM7" s="19">
        <v>4049</v>
      </c>
      <c r="BN7" s="19">
        <v>69542</v>
      </c>
      <c r="BO7" s="19">
        <v>9321</v>
      </c>
      <c r="BP7" s="19">
        <v>0</v>
      </c>
      <c r="BQ7" s="19">
        <v>326400</v>
      </c>
      <c r="BR7" s="19">
        <v>100166</v>
      </c>
      <c r="BS7" s="19">
        <v>5190</v>
      </c>
      <c r="BT7" s="19">
        <v>65932</v>
      </c>
      <c r="BU7" s="19">
        <v>9321</v>
      </c>
      <c r="BV7" s="19">
        <v>81140</v>
      </c>
      <c r="BW7" s="19">
        <v>326400</v>
      </c>
      <c r="BX7" s="19">
        <v>100166</v>
      </c>
      <c r="BY7" s="19">
        <v>4338</v>
      </c>
      <c r="BZ7" s="19">
        <v>65932</v>
      </c>
      <c r="CA7" s="19">
        <v>9321</v>
      </c>
      <c r="CB7" s="19">
        <v>0</v>
      </c>
      <c r="CC7" s="19">
        <v>326400</v>
      </c>
      <c r="CD7" s="19">
        <v>100166</v>
      </c>
      <c r="CE7" s="19">
        <v>4338</v>
      </c>
      <c r="CF7" s="19">
        <v>65932</v>
      </c>
      <c r="CG7" s="19">
        <v>9321</v>
      </c>
      <c r="CH7" s="19">
        <v>0</v>
      </c>
    </row>
    <row r="8" spans="2:86" x14ac:dyDescent="0.15">
      <c r="B8" s="17">
        <v>0</v>
      </c>
      <c r="C8" s="17" t="s">
        <v>62</v>
      </c>
      <c r="D8" s="17">
        <v>1151</v>
      </c>
      <c r="E8" s="17" t="s">
        <v>80</v>
      </c>
      <c r="F8" s="17" t="s">
        <v>81</v>
      </c>
      <c r="G8" s="17">
        <v>18</v>
      </c>
      <c r="H8" s="17" t="s">
        <v>148</v>
      </c>
      <c r="I8" s="17">
        <v>6</v>
      </c>
      <c r="J8" s="17" t="s">
        <v>73</v>
      </c>
      <c r="K8" s="17">
        <v>0</v>
      </c>
      <c r="M8" s="17">
        <v>42100</v>
      </c>
      <c r="N8" s="17" t="s">
        <v>63</v>
      </c>
      <c r="O8" s="19">
        <v>312200</v>
      </c>
      <c r="P8" s="19">
        <v>92000</v>
      </c>
      <c r="Q8" s="19">
        <v>3808</v>
      </c>
      <c r="R8" s="19">
        <v>58735</v>
      </c>
      <c r="S8" s="19">
        <v>14961</v>
      </c>
      <c r="T8" s="19">
        <v>0</v>
      </c>
      <c r="U8" s="19">
        <v>312200</v>
      </c>
      <c r="V8" s="19">
        <v>92000</v>
      </c>
      <c r="W8" s="19">
        <v>3808</v>
      </c>
      <c r="X8" s="19">
        <v>58735</v>
      </c>
      <c r="Y8" s="19">
        <v>14961</v>
      </c>
      <c r="Z8" s="19">
        <v>0</v>
      </c>
      <c r="AA8" s="19">
        <v>314600</v>
      </c>
      <c r="AB8" s="19">
        <v>92000</v>
      </c>
      <c r="AC8" s="19">
        <v>3877</v>
      </c>
      <c r="AD8" s="19">
        <v>58735</v>
      </c>
      <c r="AE8" s="19">
        <v>14961</v>
      </c>
      <c r="AF8" s="19">
        <v>0</v>
      </c>
      <c r="AG8" s="19">
        <v>314600</v>
      </c>
      <c r="AH8" s="19">
        <v>92000</v>
      </c>
      <c r="AI8" s="19">
        <v>3831</v>
      </c>
      <c r="AJ8" s="19">
        <v>58735</v>
      </c>
      <c r="AK8" s="19">
        <v>14961</v>
      </c>
      <c r="AL8" s="19">
        <v>0</v>
      </c>
      <c r="AM8" s="19">
        <v>314600</v>
      </c>
      <c r="AN8" s="19">
        <v>92000</v>
      </c>
      <c r="AO8" s="19">
        <v>3831</v>
      </c>
      <c r="AP8" s="19">
        <v>58735</v>
      </c>
      <c r="AQ8" s="19">
        <v>14961</v>
      </c>
      <c r="AR8" s="19">
        <v>0</v>
      </c>
      <c r="AS8" s="19">
        <v>314600</v>
      </c>
      <c r="AT8" s="19">
        <v>92000</v>
      </c>
      <c r="AU8" s="19">
        <v>3831</v>
      </c>
      <c r="AV8" s="19">
        <v>58735</v>
      </c>
      <c r="AW8" s="19">
        <v>14961</v>
      </c>
      <c r="AX8" s="19">
        <v>0</v>
      </c>
      <c r="AY8" s="19">
        <v>314600</v>
      </c>
      <c r="AZ8" s="19">
        <v>92000</v>
      </c>
      <c r="BA8" s="19">
        <v>3831</v>
      </c>
      <c r="BB8" s="19">
        <v>62257</v>
      </c>
      <c r="BC8" s="19">
        <v>14961</v>
      </c>
      <c r="BD8" s="19">
        <v>0</v>
      </c>
      <c r="BE8" s="19">
        <v>314600</v>
      </c>
      <c r="BF8" s="19">
        <v>92000</v>
      </c>
      <c r="BG8" s="19">
        <v>3831</v>
      </c>
      <c r="BH8" s="19">
        <v>62257</v>
      </c>
      <c r="BI8" s="19">
        <v>14961</v>
      </c>
      <c r="BJ8" s="19">
        <v>0</v>
      </c>
      <c r="BK8" s="19">
        <v>314600</v>
      </c>
      <c r="BL8" s="19">
        <v>92000</v>
      </c>
      <c r="BM8" s="19">
        <v>3831</v>
      </c>
      <c r="BN8" s="19">
        <v>62257</v>
      </c>
      <c r="BO8" s="19">
        <v>14961</v>
      </c>
      <c r="BP8" s="19">
        <v>0</v>
      </c>
      <c r="BQ8" s="19">
        <v>312200</v>
      </c>
      <c r="BR8" s="19">
        <v>92000</v>
      </c>
      <c r="BS8" s="19">
        <v>4117</v>
      </c>
      <c r="BT8" s="19">
        <v>52810</v>
      </c>
      <c r="BU8" s="19">
        <v>14961</v>
      </c>
      <c r="BV8" s="19">
        <v>0</v>
      </c>
      <c r="BW8" s="19">
        <v>312200</v>
      </c>
      <c r="BX8" s="19">
        <v>92000</v>
      </c>
      <c r="BY8" s="19">
        <v>4117</v>
      </c>
      <c r="BZ8" s="19">
        <v>58720</v>
      </c>
      <c r="CA8" s="19">
        <v>14961</v>
      </c>
      <c r="CB8" s="19">
        <v>0</v>
      </c>
      <c r="CC8" s="19">
        <v>312200</v>
      </c>
      <c r="CD8" s="19">
        <v>92000</v>
      </c>
      <c r="CE8" s="19">
        <v>4117</v>
      </c>
      <c r="CF8" s="19">
        <v>58720</v>
      </c>
      <c r="CG8" s="19">
        <v>14961</v>
      </c>
      <c r="CH8" s="19">
        <v>0</v>
      </c>
    </row>
    <row r="9" spans="2:86" x14ac:dyDescent="0.15">
      <c r="B9" s="17">
        <v>0</v>
      </c>
      <c r="C9" s="17" t="s">
        <v>62</v>
      </c>
      <c r="D9" s="17">
        <v>1242</v>
      </c>
      <c r="E9" s="17" t="s">
        <v>71</v>
      </c>
      <c r="F9" s="17" t="s">
        <v>87</v>
      </c>
      <c r="G9" s="17">
        <v>22</v>
      </c>
      <c r="H9" s="17" t="s">
        <v>62</v>
      </c>
      <c r="I9" s="17">
        <v>6</v>
      </c>
      <c r="J9" s="17" t="s">
        <v>73</v>
      </c>
      <c r="K9" s="17">
        <v>0</v>
      </c>
      <c r="M9" s="17">
        <v>42100</v>
      </c>
      <c r="N9" s="17" t="s">
        <v>63</v>
      </c>
      <c r="O9" s="19">
        <v>233895</v>
      </c>
      <c r="P9" s="19">
        <v>61833</v>
      </c>
      <c r="Q9" s="19">
        <v>3621</v>
      </c>
      <c r="R9" s="19">
        <v>48192</v>
      </c>
      <c r="S9" s="19">
        <v>11927</v>
      </c>
      <c r="T9" s="19">
        <v>89490</v>
      </c>
      <c r="U9" s="19">
        <v>233911</v>
      </c>
      <c r="V9" s="19">
        <v>61833</v>
      </c>
      <c r="W9" s="19">
        <v>2787</v>
      </c>
      <c r="X9" s="19">
        <v>48192</v>
      </c>
      <c r="Y9" s="19">
        <v>11927</v>
      </c>
      <c r="Z9" s="19">
        <v>0</v>
      </c>
      <c r="AA9" s="19">
        <v>234616</v>
      </c>
      <c r="AB9" s="19">
        <v>61833</v>
      </c>
      <c r="AC9" s="19">
        <v>2853</v>
      </c>
      <c r="AD9" s="19">
        <v>48192</v>
      </c>
      <c r="AE9" s="19">
        <v>11927</v>
      </c>
      <c r="AF9" s="19">
        <v>0</v>
      </c>
      <c r="AG9" s="19">
        <v>234600</v>
      </c>
      <c r="AH9" s="19">
        <v>61833</v>
      </c>
      <c r="AI9" s="19">
        <v>3644</v>
      </c>
      <c r="AJ9" s="19">
        <v>48192</v>
      </c>
      <c r="AK9" s="19">
        <v>11927</v>
      </c>
      <c r="AL9" s="19">
        <v>89490</v>
      </c>
      <c r="AM9" s="19">
        <v>234600</v>
      </c>
      <c r="AN9" s="19">
        <v>61833</v>
      </c>
      <c r="AO9" s="19">
        <v>2794</v>
      </c>
      <c r="AP9" s="19">
        <v>48192</v>
      </c>
      <c r="AQ9" s="19">
        <v>11927</v>
      </c>
      <c r="AR9" s="19">
        <v>0</v>
      </c>
      <c r="AS9" s="19">
        <v>234600</v>
      </c>
      <c r="AT9" s="19">
        <v>61833</v>
      </c>
      <c r="AU9" s="19">
        <v>2794</v>
      </c>
      <c r="AV9" s="19">
        <v>48192</v>
      </c>
      <c r="AW9" s="19">
        <v>11927</v>
      </c>
      <c r="AX9" s="19">
        <v>0</v>
      </c>
      <c r="AY9" s="19">
        <v>234600</v>
      </c>
      <c r="AZ9" s="19">
        <v>61833</v>
      </c>
      <c r="BA9" s="19">
        <v>3644</v>
      </c>
      <c r="BB9" s="19">
        <v>48653</v>
      </c>
      <c r="BC9" s="19">
        <v>11927</v>
      </c>
      <c r="BD9" s="19">
        <v>89490</v>
      </c>
      <c r="BE9" s="19">
        <v>234600</v>
      </c>
      <c r="BF9" s="19">
        <v>61833</v>
      </c>
      <c r="BG9" s="19">
        <v>2794</v>
      </c>
      <c r="BH9" s="19">
        <v>48653</v>
      </c>
      <c r="BI9" s="19">
        <v>11927</v>
      </c>
      <c r="BJ9" s="19">
        <v>0</v>
      </c>
      <c r="BK9" s="19">
        <v>234600</v>
      </c>
      <c r="BL9" s="19">
        <v>61833</v>
      </c>
      <c r="BM9" s="19">
        <v>2794</v>
      </c>
      <c r="BN9" s="19">
        <v>48653</v>
      </c>
      <c r="BO9" s="19">
        <v>11927</v>
      </c>
      <c r="BP9" s="19">
        <v>0</v>
      </c>
      <c r="BQ9" s="19">
        <v>232300</v>
      </c>
      <c r="BR9" s="19">
        <v>61833</v>
      </c>
      <c r="BS9" s="19">
        <v>3941</v>
      </c>
      <c r="BT9" s="19">
        <v>48179</v>
      </c>
      <c r="BU9" s="19">
        <v>11927</v>
      </c>
      <c r="BV9" s="19">
        <v>89490</v>
      </c>
      <c r="BW9" s="19">
        <v>232300</v>
      </c>
      <c r="BX9" s="19">
        <v>61833</v>
      </c>
      <c r="BY9" s="19">
        <v>3002</v>
      </c>
      <c r="BZ9" s="19">
        <v>48179</v>
      </c>
      <c r="CA9" s="19">
        <v>11927</v>
      </c>
      <c r="CB9" s="19">
        <v>0</v>
      </c>
      <c r="CC9" s="19">
        <v>232300</v>
      </c>
      <c r="CD9" s="19">
        <v>61833</v>
      </c>
      <c r="CE9" s="19">
        <v>3002</v>
      </c>
      <c r="CF9" s="19">
        <v>48179</v>
      </c>
      <c r="CG9" s="19">
        <v>11927</v>
      </c>
      <c r="CH9" s="19">
        <v>0</v>
      </c>
    </row>
    <row r="10" spans="2:86" x14ac:dyDescent="0.15">
      <c r="B10" s="17">
        <v>0</v>
      </c>
      <c r="C10" s="17" t="s">
        <v>62</v>
      </c>
      <c r="D10" s="17">
        <v>1278</v>
      </c>
      <c r="E10" s="17" t="s">
        <v>68</v>
      </c>
      <c r="F10" s="17" t="s">
        <v>86</v>
      </c>
      <c r="G10" s="17">
        <v>22</v>
      </c>
      <c r="H10" s="17" t="s">
        <v>62</v>
      </c>
      <c r="I10" s="17">
        <v>6</v>
      </c>
      <c r="J10" s="17" t="s">
        <v>73</v>
      </c>
      <c r="K10" s="17">
        <v>0</v>
      </c>
      <c r="M10" s="17">
        <v>42100</v>
      </c>
      <c r="N10" s="17" t="s">
        <v>63</v>
      </c>
      <c r="O10" s="19">
        <v>254786</v>
      </c>
      <c r="P10" s="19">
        <v>68500</v>
      </c>
      <c r="Q10" s="19">
        <v>3225</v>
      </c>
      <c r="R10" s="19">
        <v>49189</v>
      </c>
      <c r="S10" s="19">
        <v>12862</v>
      </c>
      <c r="T10" s="19">
        <v>29550</v>
      </c>
      <c r="U10" s="19">
        <v>243800</v>
      </c>
      <c r="V10" s="19">
        <v>68500</v>
      </c>
      <c r="W10" s="19">
        <v>3048</v>
      </c>
      <c r="X10" s="19">
        <v>49189</v>
      </c>
      <c r="Y10" s="19">
        <v>12862</v>
      </c>
      <c r="Z10" s="19">
        <v>0</v>
      </c>
      <c r="AA10" s="19">
        <v>246206</v>
      </c>
      <c r="AB10" s="19">
        <v>68500</v>
      </c>
      <c r="AC10" s="19">
        <v>3011</v>
      </c>
      <c r="AD10" s="19">
        <v>49189</v>
      </c>
      <c r="AE10" s="19">
        <v>12862</v>
      </c>
      <c r="AF10" s="19">
        <v>0</v>
      </c>
      <c r="AG10" s="19">
        <v>246100</v>
      </c>
      <c r="AH10" s="19">
        <v>68500</v>
      </c>
      <c r="AI10" s="19">
        <v>3246</v>
      </c>
      <c r="AJ10" s="19">
        <v>49189</v>
      </c>
      <c r="AK10" s="19">
        <v>12862</v>
      </c>
      <c r="AL10" s="19">
        <v>29550</v>
      </c>
      <c r="AM10" s="19">
        <v>246100</v>
      </c>
      <c r="AN10" s="19">
        <v>68500</v>
      </c>
      <c r="AO10" s="19">
        <v>2966</v>
      </c>
      <c r="AP10" s="19">
        <v>49189</v>
      </c>
      <c r="AQ10" s="19">
        <v>12862</v>
      </c>
      <c r="AR10" s="19">
        <v>0</v>
      </c>
      <c r="AS10" s="19">
        <v>246100</v>
      </c>
      <c r="AT10" s="19">
        <v>68500</v>
      </c>
      <c r="AU10" s="19">
        <v>2966</v>
      </c>
      <c r="AV10" s="19">
        <v>49189</v>
      </c>
      <c r="AW10" s="19">
        <v>12862</v>
      </c>
      <c r="AX10" s="19">
        <v>0</v>
      </c>
      <c r="AY10" s="19">
        <v>246100</v>
      </c>
      <c r="AZ10" s="19">
        <v>68500</v>
      </c>
      <c r="BA10" s="19">
        <v>3246</v>
      </c>
      <c r="BB10" s="19">
        <v>49650</v>
      </c>
      <c r="BC10" s="19">
        <v>12862</v>
      </c>
      <c r="BD10" s="19">
        <v>29550</v>
      </c>
      <c r="BE10" s="19">
        <v>246100</v>
      </c>
      <c r="BF10" s="19">
        <v>68500</v>
      </c>
      <c r="BG10" s="19">
        <v>2966</v>
      </c>
      <c r="BH10" s="19">
        <v>49650</v>
      </c>
      <c r="BI10" s="19">
        <v>12862</v>
      </c>
      <c r="BJ10" s="19">
        <v>0</v>
      </c>
      <c r="BK10" s="19">
        <v>246100</v>
      </c>
      <c r="BL10" s="19">
        <v>68500</v>
      </c>
      <c r="BM10" s="19">
        <v>2966</v>
      </c>
      <c r="BN10" s="19">
        <v>49650</v>
      </c>
      <c r="BO10" s="19">
        <v>12862</v>
      </c>
      <c r="BP10" s="19">
        <v>0</v>
      </c>
      <c r="BQ10" s="19">
        <v>243800</v>
      </c>
      <c r="BR10" s="19">
        <v>68500</v>
      </c>
      <c r="BS10" s="19">
        <v>3496</v>
      </c>
      <c r="BT10" s="19">
        <v>49176</v>
      </c>
      <c r="BU10" s="19">
        <v>12862</v>
      </c>
      <c r="BV10" s="19">
        <v>29550</v>
      </c>
      <c r="BW10" s="19">
        <v>248455</v>
      </c>
      <c r="BX10" s="19">
        <v>68500</v>
      </c>
      <c r="BY10" s="19">
        <v>3185</v>
      </c>
      <c r="BZ10" s="19">
        <v>49176</v>
      </c>
      <c r="CA10" s="19">
        <v>12862</v>
      </c>
      <c r="CB10" s="19">
        <v>0</v>
      </c>
      <c r="CC10" s="19">
        <v>243800</v>
      </c>
      <c r="CD10" s="19">
        <v>68500</v>
      </c>
      <c r="CE10" s="19">
        <v>3234</v>
      </c>
      <c r="CF10" s="19">
        <v>49176</v>
      </c>
      <c r="CG10" s="19">
        <v>12862</v>
      </c>
      <c r="CH10" s="19">
        <v>0</v>
      </c>
    </row>
    <row r="11" spans="2:86" x14ac:dyDescent="0.15">
      <c r="B11" s="17">
        <v>0</v>
      </c>
      <c r="C11" s="17" t="s">
        <v>62</v>
      </c>
      <c r="D11" s="17">
        <v>1339</v>
      </c>
      <c r="E11" s="17" t="s">
        <v>84</v>
      </c>
      <c r="F11" s="17" t="s">
        <v>85</v>
      </c>
      <c r="G11" s="17">
        <v>22</v>
      </c>
      <c r="H11" s="17" t="s">
        <v>62</v>
      </c>
      <c r="I11" s="17">
        <v>6</v>
      </c>
      <c r="J11" s="17" t="s">
        <v>73</v>
      </c>
      <c r="K11" s="17">
        <v>0</v>
      </c>
      <c r="M11" s="17">
        <v>42100</v>
      </c>
      <c r="N11" s="17" t="s">
        <v>63</v>
      </c>
      <c r="O11" s="19">
        <v>149650</v>
      </c>
      <c r="P11" s="19">
        <v>33833</v>
      </c>
      <c r="Q11" s="19">
        <v>1936</v>
      </c>
      <c r="R11" s="19">
        <v>27549</v>
      </c>
      <c r="S11" s="19">
        <v>8251</v>
      </c>
      <c r="T11" s="19">
        <v>17240</v>
      </c>
      <c r="U11" s="19">
        <v>160050</v>
      </c>
      <c r="V11" s="19">
        <v>33833</v>
      </c>
      <c r="W11" s="19">
        <v>1732</v>
      </c>
      <c r="X11" s="19">
        <v>27549</v>
      </c>
      <c r="Y11" s="19">
        <v>8251</v>
      </c>
      <c r="Z11" s="19">
        <v>0</v>
      </c>
      <c r="AA11" s="19">
        <v>159600</v>
      </c>
      <c r="AB11" s="19">
        <v>33833</v>
      </c>
      <c r="AC11" s="19">
        <v>1863</v>
      </c>
      <c r="AD11" s="19">
        <v>27549</v>
      </c>
      <c r="AE11" s="19">
        <v>8251</v>
      </c>
      <c r="AF11" s="19">
        <v>0</v>
      </c>
      <c r="AG11" s="19">
        <v>157050</v>
      </c>
      <c r="AH11" s="19">
        <v>33833</v>
      </c>
      <c r="AI11" s="19">
        <v>1991</v>
      </c>
      <c r="AJ11" s="19">
        <v>27549</v>
      </c>
      <c r="AK11" s="19">
        <v>8251</v>
      </c>
      <c r="AL11" s="19">
        <v>17240</v>
      </c>
      <c r="AM11" s="19">
        <v>151100</v>
      </c>
      <c r="AN11" s="19">
        <v>33833</v>
      </c>
      <c r="AO11" s="19">
        <v>1803</v>
      </c>
      <c r="AP11" s="19">
        <v>27549</v>
      </c>
      <c r="AQ11" s="19">
        <v>8251</v>
      </c>
      <c r="AR11" s="19">
        <v>0</v>
      </c>
      <c r="AS11" s="19">
        <v>154950</v>
      </c>
      <c r="AT11" s="19">
        <v>33833</v>
      </c>
      <c r="AU11" s="19">
        <v>1746</v>
      </c>
      <c r="AV11" s="19">
        <v>27549</v>
      </c>
      <c r="AW11" s="19">
        <v>8251</v>
      </c>
      <c r="AX11" s="19">
        <v>0</v>
      </c>
      <c r="AY11" s="19">
        <v>163300</v>
      </c>
      <c r="AZ11" s="19">
        <v>33833</v>
      </c>
      <c r="BA11" s="19">
        <v>1946</v>
      </c>
      <c r="BB11" s="19">
        <v>29309</v>
      </c>
      <c r="BC11" s="19">
        <v>8251</v>
      </c>
      <c r="BD11" s="19">
        <v>17240</v>
      </c>
      <c r="BE11" s="19">
        <v>157050</v>
      </c>
      <c r="BF11" s="19">
        <v>33833</v>
      </c>
      <c r="BG11" s="19">
        <v>1862</v>
      </c>
      <c r="BH11" s="19">
        <v>29309</v>
      </c>
      <c r="BI11" s="19">
        <v>8251</v>
      </c>
      <c r="BJ11" s="19">
        <v>0</v>
      </c>
      <c r="BK11" s="19">
        <v>156900</v>
      </c>
      <c r="BL11" s="19">
        <v>33833</v>
      </c>
      <c r="BM11" s="19">
        <v>1803</v>
      </c>
      <c r="BN11" s="19">
        <v>29309</v>
      </c>
      <c r="BO11" s="19">
        <v>8251</v>
      </c>
      <c r="BP11" s="19">
        <v>0</v>
      </c>
      <c r="BQ11" s="19">
        <v>145800</v>
      </c>
      <c r="BR11" s="19">
        <v>33833</v>
      </c>
      <c r="BS11" s="19">
        <v>2125</v>
      </c>
      <c r="BT11" s="19">
        <v>27541</v>
      </c>
      <c r="BU11" s="19">
        <v>8251</v>
      </c>
      <c r="BV11" s="19">
        <v>17240</v>
      </c>
      <c r="BW11" s="19">
        <v>154450</v>
      </c>
      <c r="BX11" s="19">
        <v>33833</v>
      </c>
      <c r="BY11" s="19">
        <v>1840</v>
      </c>
      <c r="BZ11" s="19">
        <v>27541</v>
      </c>
      <c r="CA11" s="19">
        <v>8251</v>
      </c>
      <c r="CB11" s="19">
        <v>0</v>
      </c>
      <c r="CC11" s="19">
        <v>153800</v>
      </c>
      <c r="CD11" s="19">
        <v>33833</v>
      </c>
      <c r="CE11" s="19">
        <v>1931</v>
      </c>
      <c r="CF11" s="19">
        <v>27541</v>
      </c>
      <c r="CG11" s="19">
        <v>8251</v>
      </c>
      <c r="CH11" s="19">
        <v>0</v>
      </c>
    </row>
    <row r="12" spans="2:86" x14ac:dyDescent="0.15">
      <c r="B12" s="17">
        <v>0</v>
      </c>
      <c r="C12" s="17" t="s">
        <v>62</v>
      </c>
      <c r="D12" s="17">
        <v>1464</v>
      </c>
      <c r="E12" s="17" t="s">
        <v>74</v>
      </c>
      <c r="F12" s="17" t="s">
        <v>75</v>
      </c>
      <c r="G12" s="17">
        <v>23</v>
      </c>
      <c r="H12" s="17" t="s">
        <v>150</v>
      </c>
      <c r="I12" s="17">
        <v>6</v>
      </c>
      <c r="J12" s="17" t="s">
        <v>73</v>
      </c>
      <c r="K12" s="17">
        <v>0</v>
      </c>
      <c r="M12" s="17">
        <v>42100</v>
      </c>
      <c r="N12" s="17" t="s">
        <v>63</v>
      </c>
      <c r="O12" s="19">
        <v>250000</v>
      </c>
      <c r="P12" s="19">
        <v>41666</v>
      </c>
      <c r="Q12" s="19">
        <v>3231</v>
      </c>
      <c r="R12" s="19">
        <v>45176</v>
      </c>
      <c r="S12" s="19">
        <v>0</v>
      </c>
      <c r="T12" s="19">
        <v>48520</v>
      </c>
      <c r="U12" s="19">
        <v>250000</v>
      </c>
      <c r="V12" s="19">
        <v>41666</v>
      </c>
      <c r="W12" s="19">
        <v>2770</v>
      </c>
      <c r="X12" s="19">
        <v>45176</v>
      </c>
      <c r="Y12" s="19">
        <v>0</v>
      </c>
      <c r="Z12" s="19">
        <v>0</v>
      </c>
      <c r="AA12" s="19">
        <v>250000</v>
      </c>
      <c r="AB12" s="19">
        <v>41666</v>
      </c>
      <c r="AC12" s="19">
        <v>2770</v>
      </c>
      <c r="AD12" s="19">
        <v>45176</v>
      </c>
      <c r="AE12" s="19">
        <v>0</v>
      </c>
      <c r="AF12" s="19">
        <v>0</v>
      </c>
      <c r="AG12" s="19">
        <v>250000</v>
      </c>
      <c r="AH12" s="19">
        <v>41666</v>
      </c>
      <c r="AI12" s="19">
        <v>3231</v>
      </c>
      <c r="AJ12" s="19">
        <v>45176</v>
      </c>
      <c r="AK12" s="19">
        <v>0</v>
      </c>
      <c r="AL12" s="19">
        <v>48520</v>
      </c>
      <c r="AM12" s="19">
        <v>250000</v>
      </c>
      <c r="AN12" s="19">
        <v>41666</v>
      </c>
      <c r="AO12" s="19">
        <v>2770</v>
      </c>
      <c r="AP12" s="19">
        <v>45176</v>
      </c>
      <c r="AQ12" s="19">
        <v>0</v>
      </c>
      <c r="AR12" s="19">
        <v>0</v>
      </c>
      <c r="AS12" s="19">
        <v>250000</v>
      </c>
      <c r="AT12" s="19">
        <v>41666</v>
      </c>
      <c r="AU12" s="19">
        <v>2770</v>
      </c>
      <c r="AV12" s="19">
        <v>45176</v>
      </c>
      <c r="AW12" s="19">
        <v>0</v>
      </c>
      <c r="AX12" s="19">
        <v>0</v>
      </c>
      <c r="AY12" s="19">
        <v>253662</v>
      </c>
      <c r="AZ12" s="19">
        <v>41666</v>
      </c>
      <c r="BA12" s="19">
        <v>3231</v>
      </c>
      <c r="BB12" s="19">
        <v>45637</v>
      </c>
      <c r="BC12" s="19">
        <v>0</v>
      </c>
      <c r="BD12" s="19">
        <v>48520</v>
      </c>
      <c r="BE12" s="19">
        <v>254049</v>
      </c>
      <c r="BF12" s="19">
        <v>41666</v>
      </c>
      <c r="BG12" s="19">
        <v>2804</v>
      </c>
      <c r="BH12" s="19">
        <v>45637</v>
      </c>
      <c r="BI12" s="19">
        <v>0</v>
      </c>
      <c r="BJ12" s="19">
        <v>0</v>
      </c>
      <c r="BK12" s="19">
        <v>250000</v>
      </c>
      <c r="BL12" s="19">
        <v>41666</v>
      </c>
      <c r="BM12" s="19">
        <v>2808</v>
      </c>
      <c r="BN12" s="19">
        <v>45637</v>
      </c>
      <c r="BO12" s="19">
        <v>0</v>
      </c>
      <c r="BP12" s="19">
        <v>0</v>
      </c>
      <c r="BQ12" s="19">
        <v>250000</v>
      </c>
      <c r="BR12" s="19">
        <v>41666</v>
      </c>
      <c r="BS12" s="19">
        <v>3529</v>
      </c>
      <c r="BT12" s="19">
        <v>45163</v>
      </c>
      <c r="BU12" s="19">
        <v>0</v>
      </c>
      <c r="BV12" s="19">
        <v>48520</v>
      </c>
      <c r="BW12" s="19">
        <v>250000</v>
      </c>
      <c r="BX12" s="19">
        <v>41666</v>
      </c>
      <c r="BY12" s="19">
        <v>3020</v>
      </c>
      <c r="BZ12" s="19">
        <v>45163</v>
      </c>
      <c r="CA12" s="19">
        <v>0</v>
      </c>
      <c r="CB12" s="19">
        <v>0</v>
      </c>
      <c r="CC12" s="19">
        <v>250000</v>
      </c>
      <c r="CD12" s="19">
        <v>41666</v>
      </c>
      <c r="CE12" s="19">
        <v>3020</v>
      </c>
      <c r="CF12" s="19">
        <v>45163</v>
      </c>
      <c r="CG12" s="19">
        <v>0</v>
      </c>
      <c r="CH12" s="19">
        <v>0</v>
      </c>
    </row>
    <row r="13" spans="2:86" x14ac:dyDescent="0.15">
      <c r="O13" s="19">
        <f>SUM(O3:O12)</f>
        <v>2854481</v>
      </c>
      <c r="P13" s="19">
        <f t="shared" ref="P13:CA13" si="0">SUM(P3:P12)</f>
        <v>799081</v>
      </c>
      <c r="Q13" s="19">
        <f t="shared" si="0"/>
        <v>38807</v>
      </c>
      <c r="R13" s="19">
        <f t="shared" si="0"/>
        <v>554895</v>
      </c>
      <c r="S13" s="19">
        <f t="shared" si="0"/>
        <v>163318</v>
      </c>
      <c r="T13" s="19">
        <f t="shared" si="0"/>
        <v>483276</v>
      </c>
      <c r="U13" s="19">
        <f t="shared" si="0"/>
        <v>2853911</v>
      </c>
      <c r="V13" s="19">
        <f t="shared" si="0"/>
        <v>799081</v>
      </c>
      <c r="W13" s="19">
        <f t="shared" si="0"/>
        <v>34296</v>
      </c>
      <c r="X13" s="19">
        <f t="shared" si="0"/>
        <v>554895</v>
      </c>
      <c r="Y13" s="19">
        <f t="shared" si="0"/>
        <v>163318</v>
      </c>
      <c r="Z13" s="19">
        <f t="shared" si="0"/>
        <v>0</v>
      </c>
      <c r="AA13" s="19">
        <f t="shared" si="0"/>
        <v>2869572</v>
      </c>
      <c r="AB13" s="19">
        <f t="shared" si="0"/>
        <v>799081</v>
      </c>
      <c r="AC13" s="19">
        <f t="shared" si="0"/>
        <v>34827</v>
      </c>
      <c r="AD13" s="19">
        <f t="shared" si="0"/>
        <v>554895</v>
      </c>
      <c r="AE13" s="19">
        <f t="shared" si="0"/>
        <v>163318</v>
      </c>
      <c r="AF13" s="19">
        <f t="shared" si="0"/>
        <v>0</v>
      </c>
      <c r="AG13" s="19">
        <f t="shared" si="0"/>
        <v>2866900</v>
      </c>
      <c r="AH13" s="19">
        <f t="shared" si="0"/>
        <v>799081</v>
      </c>
      <c r="AI13" s="19">
        <f t="shared" si="0"/>
        <v>39083</v>
      </c>
      <c r="AJ13" s="19">
        <f t="shared" si="0"/>
        <v>554895</v>
      </c>
      <c r="AK13" s="19">
        <f t="shared" si="0"/>
        <v>163318</v>
      </c>
      <c r="AL13" s="19">
        <f t="shared" si="0"/>
        <v>488895</v>
      </c>
      <c r="AM13" s="19">
        <f t="shared" si="0"/>
        <v>2860950</v>
      </c>
      <c r="AN13" s="19">
        <f t="shared" si="0"/>
        <v>799081</v>
      </c>
      <c r="AO13" s="19">
        <f t="shared" si="0"/>
        <v>34415</v>
      </c>
      <c r="AP13" s="19">
        <f t="shared" si="0"/>
        <v>560209</v>
      </c>
      <c r="AQ13" s="19">
        <f t="shared" si="0"/>
        <v>163318</v>
      </c>
      <c r="AR13" s="19">
        <f t="shared" si="0"/>
        <v>0</v>
      </c>
      <c r="AS13" s="19">
        <f t="shared" si="0"/>
        <v>2864800</v>
      </c>
      <c r="AT13" s="19">
        <f t="shared" si="0"/>
        <v>799081</v>
      </c>
      <c r="AU13" s="19">
        <f t="shared" si="0"/>
        <v>34358</v>
      </c>
      <c r="AV13" s="19">
        <f t="shared" si="0"/>
        <v>560209</v>
      </c>
      <c r="AW13" s="19">
        <f t="shared" si="0"/>
        <v>163318</v>
      </c>
      <c r="AX13" s="19">
        <f t="shared" si="0"/>
        <v>0</v>
      </c>
      <c r="AY13" s="19">
        <f t="shared" si="0"/>
        <v>2876812</v>
      </c>
      <c r="AZ13" s="19">
        <f t="shared" si="0"/>
        <v>799081</v>
      </c>
      <c r="BA13" s="19">
        <f t="shared" si="0"/>
        <v>39038</v>
      </c>
      <c r="BB13" s="19">
        <f t="shared" si="0"/>
        <v>577370</v>
      </c>
      <c r="BC13" s="19">
        <f t="shared" si="0"/>
        <v>163318</v>
      </c>
      <c r="BD13" s="19">
        <f t="shared" si="0"/>
        <v>488895</v>
      </c>
      <c r="BE13" s="19">
        <f t="shared" si="0"/>
        <v>2870949</v>
      </c>
      <c r="BF13" s="19">
        <f t="shared" si="0"/>
        <v>799081</v>
      </c>
      <c r="BG13" s="19">
        <f t="shared" si="0"/>
        <v>34508</v>
      </c>
      <c r="BH13" s="19">
        <f t="shared" si="0"/>
        <v>577370</v>
      </c>
      <c r="BI13" s="19">
        <f t="shared" si="0"/>
        <v>163318</v>
      </c>
      <c r="BJ13" s="19">
        <f t="shared" si="0"/>
        <v>0</v>
      </c>
      <c r="BK13" s="19">
        <f t="shared" si="0"/>
        <v>2866750</v>
      </c>
      <c r="BL13" s="19">
        <f t="shared" si="0"/>
        <v>799081</v>
      </c>
      <c r="BM13" s="19">
        <f t="shared" si="0"/>
        <v>34453</v>
      </c>
      <c r="BN13" s="19">
        <f t="shared" si="0"/>
        <v>577370</v>
      </c>
      <c r="BO13" s="19">
        <f t="shared" si="0"/>
        <v>163318</v>
      </c>
      <c r="BP13" s="19">
        <f t="shared" si="0"/>
        <v>0</v>
      </c>
      <c r="BQ13" s="19">
        <f t="shared" si="0"/>
        <v>2790550</v>
      </c>
      <c r="BR13" s="19">
        <f t="shared" si="0"/>
        <v>799081</v>
      </c>
      <c r="BS13" s="19">
        <f t="shared" si="0"/>
        <v>42088</v>
      </c>
      <c r="BT13" s="19">
        <f t="shared" si="0"/>
        <v>548838</v>
      </c>
      <c r="BU13" s="19">
        <f t="shared" si="0"/>
        <v>163318</v>
      </c>
      <c r="BV13" s="19">
        <f t="shared" si="0"/>
        <v>508565</v>
      </c>
      <c r="BW13" s="19">
        <f t="shared" si="0"/>
        <v>2803855</v>
      </c>
      <c r="BX13" s="19">
        <f t="shared" si="0"/>
        <v>799081</v>
      </c>
      <c r="BY13" s="19">
        <f t="shared" si="0"/>
        <v>36647</v>
      </c>
      <c r="BZ13" s="19">
        <f t="shared" si="0"/>
        <v>554748</v>
      </c>
      <c r="CA13" s="19">
        <f t="shared" si="0"/>
        <v>163318</v>
      </c>
      <c r="CB13" s="19">
        <f t="shared" ref="CB13:CH13" si="1">SUM(CB3:CB12)</f>
        <v>0</v>
      </c>
      <c r="CC13" s="19">
        <f t="shared" si="1"/>
        <v>2798550</v>
      </c>
      <c r="CD13" s="19">
        <f t="shared" si="1"/>
        <v>799081</v>
      </c>
      <c r="CE13" s="19">
        <f t="shared" si="1"/>
        <v>36787</v>
      </c>
      <c r="CF13" s="19">
        <f t="shared" si="1"/>
        <v>554748</v>
      </c>
      <c r="CG13" s="19">
        <f t="shared" si="1"/>
        <v>163318</v>
      </c>
      <c r="CH13" s="19">
        <f t="shared" si="1"/>
        <v>0</v>
      </c>
    </row>
    <row r="14" spans="2:86" x14ac:dyDescent="0.15">
      <c r="B14" s="17">
        <v>0</v>
      </c>
      <c r="C14" s="17" t="s">
        <v>62</v>
      </c>
      <c r="D14" s="17">
        <v>1175</v>
      </c>
      <c r="E14" s="17" t="s">
        <v>104</v>
      </c>
      <c r="F14" s="17" t="s">
        <v>105</v>
      </c>
      <c r="G14" s="17">
        <v>12</v>
      </c>
      <c r="H14" s="17" t="s">
        <v>149</v>
      </c>
      <c r="I14" s="17">
        <v>6</v>
      </c>
      <c r="J14" s="17" t="s">
        <v>73</v>
      </c>
      <c r="K14" s="17">
        <v>3</v>
      </c>
      <c r="L14" s="17" t="s">
        <v>93</v>
      </c>
      <c r="M14" s="17">
        <v>41400</v>
      </c>
      <c r="N14" s="17" t="s">
        <v>90</v>
      </c>
      <c r="O14" s="19">
        <v>416860</v>
      </c>
      <c r="P14" s="19">
        <v>124166</v>
      </c>
      <c r="Q14" s="19">
        <v>5201</v>
      </c>
      <c r="R14" s="19">
        <v>79984</v>
      </c>
      <c r="S14" s="19">
        <v>11539</v>
      </c>
      <c r="T14" s="19">
        <v>24620</v>
      </c>
      <c r="U14" s="19">
        <v>405821</v>
      </c>
      <c r="V14" s="19">
        <v>124166</v>
      </c>
      <c r="W14" s="19">
        <v>5098</v>
      </c>
      <c r="X14" s="19">
        <v>79984</v>
      </c>
      <c r="Y14" s="19">
        <v>11539</v>
      </c>
      <c r="Z14" s="19">
        <v>0</v>
      </c>
      <c r="AA14" s="19">
        <v>414807</v>
      </c>
      <c r="AB14" s="19">
        <v>124166</v>
      </c>
      <c r="AC14" s="19">
        <v>5134</v>
      </c>
      <c r="AD14" s="19">
        <v>79984</v>
      </c>
      <c r="AE14" s="19">
        <v>11539</v>
      </c>
      <c r="AF14" s="19">
        <v>0</v>
      </c>
      <c r="AG14" s="19">
        <v>411610</v>
      </c>
      <c r="AH14" s="19">
        <v>124166</v>
      </c>
      <c r="AI14" s="19">
        <v>5310</v>
      </c>
      <c r="AJ14" s="19">
        <v>79984</v>
      </c>
      <c r="AK14" s="19">
        <v>11539</v>
      </c>
      <c r="AL14" s="19">
        <v>24620</v>
      </c>
      <c r="AM14" s="19">
        <v>408941</v>
      </c>
      <c r="AN14" s="19">
        <v>124166</v>
      </c>
      <c r="AO14" s="19">
        <v>5048</v>
      </c>
      <c r="AP14" s="19">
        <v>79984</v>
      </c>
      <c r="AQ14" s="19">
        <v>11539</v>
      </c>
      <c r="AR14" s="19">
        <v>0</v>
      </c>
      <c r="AS14" s="19">
        <v>413093</v>
      </c>
      <c r="AT14" s="19">
        <v>124166</v>
      </c>
      <c r="AU14" s="19">
        <v>5023</v>
      </c>
      <c r="AV14" s="19">
        <v>79984</v>
      </c>
      <c r="AW14" s="19">
        <v>11539</v>
      </c>
      <c r="AX14" s="19">
        <v>0</v>
      </c>
      <c r="AY14" s="19">
        <v>417542</v>
      </c>
      <c r="AZ14" s="19">
        <v>124166</v>
      </c>
      <c r="BA14" s="19">
        <v>5296</v>
      </c>
      <c r="BB14" s="19">
        <v>80710</v>
      </c>
      <c r="BC14" s="19">
        <v>11539</v>
      </c>
      <c r="BD14" s="19">
        <v>24620</v>
      </c>
      <c r="BE14" s="19">
        <v>421694</v>
      </c>
      <c r="BF14" s="19">
        <v>124166</v>
      </c>
      <c r="BG14" s="19">
        <v>5104</v>
      </c>
      <c r="BH14" s="19">
        <v>80710</v>
      </c>
      <c r="BI14" s="19">
        <v>11539</v>
      </c>
      <c r="BJ14" s="19">
        <v>0</v>
      </c>
      <c r="BK14" s="19">
        <v>410048</v>
      </c>
      <c r="BL14" s="19">
        <v>124166</v>
      </c>
      <c r="BM14" s="19">
        <v>5144</v>
      </c>
      <c r="BN14" s="19">
        <v>80710</v>
      </c>
      <c r="BO14" s="19">
        <v>11539</v>
      </c>
      <c r="BP14" s="19">
        <v>0</v>
      </c>
      <c r="BQ14" s="19">
        <v>406319</v>
      </c>
      <c r="BR14" s="19">
        <v>124166</v>
      </c>
      <c r="BS14" s="19">
        <v>5646</v>
      </c>
      <c r="BT14" s="19">
        <v>79963</v>
      </c>
      <c r="BU14" s="19">
        <v>11539</v>
      </c>
      <c r="BV14" s="19">
        <v>24620</v>
      </c>
      <c r="BW14" s="19">
        <v>402220</v>
      </c>
      <c r="BX14" s="19">
        <v>124166</v>
      </c>
      <c r="BY14" s="19">
        <v>5400</v>
      </c>
      <c r="BZ14" s="19">
        <v>79963</v>
      </c>
      <c r="CA14" s="19">
        <v>11539</v>
      </c>
      <c r="CB14" s="19">
        <v>0</v>
      </c>
      <c r="CC14" s="19">
        <v>403099</v>
      </c>
      <c r="CD14" s="19">
        <v>124166</v>
      </c>
      <c r="CE14" s="19">
        <v>5357</v>
      </c>
      <c r="CF14" s="19">
        <v>79963</v>
      </c>
      <c r="CG14" s="19">
        <v>11539</v>
      </c>
      <c r="CH14" s="19">
        <v>0</v>
      </c>
    </row>
    <row r="15" spans="2:86" x14ac:dyDescent="0.15">
      <c r="B15" s="17">
        <v>0</v>
      </c>
      <c r="C15" s="17" t="s">
        <v>62</v>
      </c>
      <c r="D15" s="17">
        <v>1482</v>
      </c>
      <c r="E15" s="17" t="s">
        <v>91</v>
      </c>
      <c r="F15" s="17" t="s">
        <v>92</v>
      </c>
      <c r="G15" s="17">
        <v>18</v>
      </c>
      <c r="H15" s="17" t="s">
        <v>148</v>
      </c>
      <c r="I15" s="17">
        <v>6</v>
      </c>
      <c r="J15" s="17" t="s">
        <v>73</v>
      </c>
      <c r="K15" s="17">
        <v>3</v>
      </c>
      <c r="L15" s="17" t="s">
        <v>93</v>
      </c>
      <c r="M15" s="17">
        <v>41400</v>
      </c>
      <c r="N15" s="17" t="s">
        <v>90</v>
      </c>
      <c r="O15" s="19">
        <v>0</v>
      </c>
      <c r="P15" s="19">
        <v>41166</v>
      </c>
      <c r="Q15" s="19">
        <v>390</v>
      </c>
      <c r="R15" s="19">
        <v>5831</v>
      </c>
      <c r="S15" s="19">
        <v>0</v>
      </c>
      <c r="T15" s="19">
        <v>0</v>
      </c>
      <c r="U15" s="19">
        <v>313700</v>
      </c>
      <c r="V15" s="19">
        <v>41166</v>
      </c>
      <c r="W15" s="19">
        <v>3799</v>
      </c>
      <c r="X15" s="19">
        <v>6471</v>
      </c>
      <c r="Y15" s="19">
        <v>22264</v>
      </c>
      <c r="Z15" s="19">
        <v>48520</v>
      </c>
      <c r="AA15" s="19">
        <v>284611</v>
      </c>
      <c r="AB15" s="19">
        <v>41166</v>
      </c>
      <c r="AC15" s="19">
        <v>3053</v>
      </c>
      <c r="AD15" s="19">
        <v>51236</v>
      </c>
      <c r="AE15" s="19">
        <v>22264</v>
      </c>
      <c r="AF15" s="19">
        <v>0</v>
      </c>
      <c r="AG15" s="19">
        <v>298700</v>
      </c>
      <c r="AH15" s="19">
        <v>41166</v>
      </c>
      <c r="AI15" s="19">
        <v>3666</v>
      </c>
      <c r="AJ15" s="19">
        <v>51236</v>
      </c>
      <c r="AK15" s="19">
        <v>22264</v>
      </c>
      <c r="AL15" s="19">
        <v>48520</v>
      </c>
      <c r="AM15" s="19">
        <v>298700</v>
      </c>
      <c r="AN15" s="19">
        <v>41166</v>
      </c>
      <c r="AO15" s="19">
        <v>3196</v>
      </c>
      <c r="AP15" s="19">
        <v>51236</v>
      </c>
      <c r="AQ15" s="19">
        <v>22264</v>
      </c>
      <c r="AR15" s="19">
        <v>0</v>
      </c>
      <c r="AS15" s="19">
        <v>299611</v>
      </c>
      <c r="AT15" s="19">
        <v>41166</v>
      </c>
      <c r="AU15" s="19">
        <v>3196</v>
      </c>
      <c r="AV15" s="19">
        <v>51236</v>
      </c>
      <c r="AW15" s="19">
        <v>22264</v>
      </c>
      <c r="AX15" s="19">
        <v>0</v>
      </c>
      <c r="AY15" s="19">
        <v>300066</v>
      </c>
      <c r="AZ15" s="19">
        <v>41166</v>
      </c>
      <c r="BA15" s="19">
        <v>3666</v>
      </c>
      <c r="BB15" s="19">
        <v>51802</v>
      </c>
      <c r="BC15" s="19">
        <v>22264</v>
      </c>
      <c r="BD15" s="19">
        <v>48520</v>
      </c>
      <c r="BE15" s="19">
        <v>302116</v>
      </c>
      <c r="BF15" s="19">
        <v>41166</v>
      </c>
      <c r="BG15" s="19">
        <v>3209</v>
      </c>
      <c r="BH15" s="19">
        <v>51802</v>
      </c>
      <c r="BI15" s="19">
        <v>22264</v>
      </c>
      <c r="BJ15" s="19">
        <v>0</v>
      </c>
      <c r="BK15" s="19">
        <v>298700</v>
      </c>
      <c r="BL15" s="19">
        <v>41166</v>
      </c>
      <c r="BM15" s="19">
        <v>3228</v>
      </c>
      <c r="BN15" s="19">
        <v>51802</v>
      </c>
      <c r="BO15" s="19">
        <v>22264</v>
      </c>
      <c r="BP15" s="19">
        <v>0</v>
      </c>
      <c r="BQ15" s="19">
        <v>0</v>
      </c>
      <c r="BR15" s="19">
        <v>41166</v>
      </c>
      <c r="BS15" s="19">
        <v>390</v>
      </c>
      <c r="BT15" s="19">
        <v>5831</v>
      </c>
      <c r="BU15" s="19">
        <v>0</v>
      </c>
      <c r="BV15" s="19">
        <v>0</v>
      </c>
      <c r="BW15" s="19">
        <v>0</v>
      </c>
      <c r="BX15" s="19">
        <v>41166</v>
      </c>
      <c r="BY15" s="19">
        <v>390</v>
      </c>
      <c r="BZ15" s="19">
        <v>5831</v>
      </c>
      <c r="CA15" s="19">
        <v>0</v>
      </c>
      <c r="CB15" s="19">
        <v>0</v>
      </c>
      <c r="CC15" s="19">
        <v>0</v>
      </c>
      <c r="CD15" s="19">
        <v>41166</v>
      </c>
      <c r="CE15" s="19">
        <v>390</v>
      </c>
      <c r="CF15" s="19">
        <v>5831</v>
      </c>
      <c r="CG15" s="19">
        <v>0</v>
      </c>
      <c r="CH15" s="19">
        <v>0</v>
      </c>
    </row>
    <row r="16" spans="2:86" x14ac:dyDescent="0.15">
      <c r="B16" s="17">
        <v>0</v>
      </c>
      <c r="C16" s="17" t="s">
        <v>62</v>
      </c>
      <c r="D16" s="17">
        <v>1421</v>
      </c>
      <c r="E16" s="17" t="s">
        <v>98</v>
      </c>
      <c r="F16" s="17" t="s">
        <v>99</v>
      </c>
      <c r="G16" s="17">
        <v>22</v>
      </c>
      <c r="H16" s="17" t="s">
        <v>62</v>
      </c>
      <c r="I16" s="17">
        <v>6</v>
      </c>
      <c r="J16" s="17" t="s">
        <v>73</v>
      </c>
      <c r="K16" s="17">
        <v>3</v>
      </c>
      <c r="L16" s="17" t="s">
        <v>93</v>
      </c>
      <c r="M16" s="17">
        <v>41400</v>
      </c>
      <c r="N16" s="17" t="s">
        <v>90</v>
      </c>
      <c r="O16" s="19">
        <v>277600</v>
      </c>
      <c r="P16" s="19">
        <v>62333</v>
      </c>
      <c r="Q16" s="19">
        <v>3660</v>
      </c>
      <c r="R16" s="19">
        <v>51342</v>
      </c>
      <c r="S16" s="19">
        <v>8755</v>
      </c>
      <c r="T16" s="19">
        <v>29550</v>
      </c>
      <c r="U16" s="19">
        <v>312170</v>
      </c>
      <c r="V16" s="19">
        <v>62333</v>
      </c>
      <c r="W16" s="19">
        <v>3209</v>
      </c>
      <c r="X16" s="19">
        <v>51342</v>
      </c>
      <c r="Y16" s="19">
        <v>8755</v>
      </c>
      <c r="Z16" s="19">
        <v>0</v>
      </c>
      <c r="AA16" s="19">
        <v>297500</v>
      </c>
      <c r="AB16" s="19">
        <v>62333</v>
      </c>
      <c r="AC16" s="19">
        <v>3594</v>
      </c>
      <c r="AD16" s="19">
        <v>51342</v>
      </c>
      <c r="AE16" s="19">
        <v>8755</v>
      </c>
      <c r="AF16" s="19">
        <v>0</v>
      </c>
      <c r="AG16" s="19">
        <v>299900</v>
      </c>
      <c r="AH16" s="19">
        <v>62333</v>
      </c>
      <c r="AI16" s="19">
        <v>3679</v>
      </c>
      <c r="AJ16" s="19">
        <v>51342</v>
      </c>
      <c r="AK16" s="19">
        <v>8755</v>
      </c>
      <c r="AL16" s="19">
        <v>29550</v>
      </c>
      <c r="AM16" s="19">
        <v>289800</v>
      </c>
      <c r="AN16" s="19">
        <v>62333</v>
      </c>
      <c r="AO16" s="19">
        <v>3420</v>
      </c>
      <c r="AP16" s="19">
        <v>51342</v>
      </c>
      <c r="AQ16" s="19">
        <v>8755</v>
      </c>
      <c r="AR16" s="19">
        <v>0</v>
      </c>
      <c r="AS16" s="19">
        <v>297500</v>
      </c>
      <c r="AT16" s="19">
        <v>62333</v>
      </c>
      <c r="AU16" s="19">
        <v>3325</v>
      </c>
      <c r="AV16" s="19">
        <v>51342</v>
      </c>
      <c r="AW16" s="19">
        <v>8755</v>
      </c>
      <c r="AX16" s="19">
        <v>0</v>
      </c>
      <c r="AY16" s="19">
        <v>300700</v>
      </c>
      <c r="AZ16" s="19">
        <v>62333</v>
      </c>
      <c r="BA16" s="19">
        <v>3679</v>
      </c>
      <c r="BB16" s="19">
        <v>57820</v>
      </c>
      <c r="BC16" s="19">
        <v>8755</v>
      </c>
      <c r="BD16" s="19">
        <v>29550</v>
      </c>
      <c r="BE16" s="19">
        <v>291000</v>
      </c>
      <c r="BF16" s="19">
        <v>62333</v>
      </c>
      <c r="BG16" s="19">
        <v>3428</v>
      </c>
      <c r="BH16" s="19">
        <v>57820</v>
      </c>
      <c r="BI16" s="19">
        <v>8755</v>
      </c>
      <c r="BJ16" s="19">
        <v>0</v>
      </c>
      <c r="BK16" s="19">
        <v>291600</v>
      </c>
      <c r="BL16" s="19">
        <v>62333</v>
      </c>
      <c r="BM16" s="19">
        <v>3337</v>
      </c>
      <c r="BN16" s="19">
        <v>57820</v>
      </c>
      <c r="BO16" s="19">
        <v>8755</v>
      </c>
      <c r="BP16" s="19">
        <v>0</v>
      </c>
      <c r="BQ16" s="19">
        <v>271800</v>
      </c>
      <c r="BR16" s="19">
        <v>62333</v>
      </c>
      <c r="BS16" s="19">
        <v>3920</v>
      </c>
      <c r="BT16" s="19">
        <v>51328</v>
      </c>
      <c r="BU16" s="19">
        <v>8755</v>
      </c>
      <c r="BV16" s="19">
        <v>29550</v>
      </c>
      <c r="BW16" s="19">
        <v>278900</v>
      </c>
      <c r="BX16" s="19">
        <v>62333</v>
      </c>
      <c r="BY16" s="19">
        <v>3424</v>
      </c>
      <c r="BZ16" s="19">
        <v>51328</v>
      </c>
      <c r="CA16" s="19">
        <v>8755</v>
      </c>
      <c r="CB16" s="19">
        <v>0</v>
      </c>
      <c r="CC16" s="19">
        <v>295500</v>
      </c>
      <c r="CD16" s="19">
        <v>62333</v>
      </c>
      <c r="CE16" s="19">
        <v>3498</v>
      </c>
      <c r="CF16" s="19">
        <v>51328</v>
      </c>
      <c r="CG16" s="19">
        <v>8755</v>
      </c>
      <c r="CH16" s="19">
        <v>0</v>
      </c>
    </row>
    <row r="17" spans="2:86" x14ac:dyDescent="0.15">
      <c r="B17" s="17">
        <v>0</v>
      </c>
      <c r="C17" s="17" t="s">
        <v>62</v>
      </c>
      <c r="D17" s="17">
        <v>1425</v>
      </c>
      <c r="E17" s="17" t="s">
        <v>106</v>
      </c>
      <c r="F17" s="17" t="s">
        <v>107</v>
      </c>
      <c r="G17" s="17">
        <v>22</v>
      </c>
      <c r="H17" s="17" t="s">
        <v>62</v>
      </c>
      <c r="I17" s="17">
        <v>6</v>
      </c>
      <c r="J17" s="17" t="s">
        <v>73</v>
      </c>
      <c r="K17" s="17">
        <v>3</v>
      </c>
      <c r="L17" s="17" t="s">
        <v>93</v>
      </c>
      <c r="M17" s="17">
        <v>41400</v>
      </c>
      <c r="N17" s="17" t="s">
        <v>90</v>
      </c>
      <c r="O17" s="19">
        <v>242900</v>
      </c>
      <c r="P17" s="19">
        <v>55333</v>
      </c>
      <c r="Q17" s="19">
        <v>3093</v>
      </c>
      <c r="R17" s="19">
        <v>47220</v>
      </c>
      <c r="S17" s="19">
        <v>9128</v>
      </c>
      <c r="T17" s="19">
        <v>29550</v>
      </c>
      <c r="U17" s="19">
        <v>257414</v>
      </c>
      <c r="V17" s="19">
        <v>55333</v>
      </c>
      <c r="W17" s="19">
        <v>2813</v>
      </c>
      <c r="X17" s="19">
        <v>47220</v>
      </c>
      <c r="Y17" s="19">
        <v>9128</v>
      </c>
      <c r="Z17" s="19">
        <v>0</v>
      </c>
      <c r="AA17" s="19">
        <v>257700</v>
      </c>
      <c r="AB17" s="19">
        <v>55333</v>
      </c>
      <c r="AC17" s="19">
        <v>3008</v>
      </c>
      <c r="AD17" s="19">
        <v>47220</v>
      </c>
      <c r="AE17" s="19">
        <v>9128</v>
      </c>
      <c r="AF17" s="19">
        <v>0</v>
      </c>
      <c r="AG17" s="19">
        <v>244900</v>
      </c>
      <c r="AH17" s="19">
        <v>55333</v>
      </c>
      <c r="AI17" s="19">
        <v>3235</v>
      </c>
      <c r="AJ17" s="19">
        <v>47220</v>
      </c>
      <c r="AK17" s="19">
        <v>9128</v>
      </c>
      <c r="AL17" s="19">
        <v>29550</v>
      </c>
      <c r="AM17" s="19">
        <v>283400</v>
      </c>
      <c r="AN17" s="19">
        <v>55333</v>
      </c>
      <c r="AO17" s="19">
        <v>2832</v>
      </c>
      <c r="AP17" s="19">
        <v>47220</v>
      </c>
      <c r="AQ17" s="19">
        <v>9128</v>
      </c>
      <c r="AR17" s="19">
        <v>0</v>
      </c>
      <c r="AS17" s="19">
        <v>245905</v>
      </c>
      <c r="AT17" s="19">
        <v>55333</v>
      </c>
      <c r="AU17" s="19">
        <v>3198</v>
      </c>
      <c r="AV17" s="19">
        <v>47220</v>
      </c>
      <c r="AW17" s="19">
        <v>9128</v>
      </c>
      <c r="AX17" s="19">
        <v>0</v>
      </c>
      <c r="AY17" s="19">
        <v>297618</v>
      </c>
      <c r="AZ17" s="19">
        <v>55333</v>
      </c>
      <c r="BA17" s="19">
        <v>3122</v>
      </c>
      <c r="BB17" s="19">
        <v>47681</v>
      </c>
      <c r="BC17" s="19">
        <v>9128</v>
      </c>
      <c r="BD17" s="19">
        <v>29550</v>
      </c>
      <c r="BE17" s="19">
        <v>277600</v>
      </c>
      <c r="BF17" s="19">
        <v>55333</v>
      </c>
      <c r="BG17" s="19">
        <v>3333</v>
      </c>
      <c r="BH17" s="19">
        <v>47681</v>
      </c>
      <c r="BI17" s="19">
        <v>9128</v>
      </c>
      <c r="BJ17" s="19">
        <v>0</v>
      </c>
      <c r="BK17" s="19">
        <v>275700</v>
      </c>
      <c r="BL17" s="19">
        <v>55333</v>
      </c>
      <c r="BM17" s="19">
        <v>3143</v>
      </c>
      <c r="BN17" s="19">
        <v>47681</v>
      </c>
      <c r="BO17" s="19">
        <v>9128</v>
      </c>
      <c r="BP17" s="19">
        <v>0</v>
      </c>
      <c r="BQ17" s="19">
        <v>245900</v>
      </c>
      <c r="BR17" s="19">
        <v>55333</v>
      </c>
      <c r="BS17" s="19">
        <v>3688</v>
      </c>
      <c r="BT17" s="19">
        <v>47207</v>
      </c>
      <c r="BU17" s="19">
        <v>9128</v>
      </c>
      <c r="BV17" s="19">
        <v>29550</v>
      </c>
      <c r="BW17" s="19">
        <v>242900</v>
      </c>
      <c r="BX17" s="19">
        <v>55333</v>
      </c>
      <c r="BY17" s="19">
        <v>3085</v>
      </c>
      <c r="BZ17" s="19">
        <v>47207</v>
      </c>
      <c r="CA17" s="19">
        <v>9128</v>
      </c>
      <c r="CB17" s="19">
        <v>0</v>
      </c>
      <c r="CC17" s="19">
        <v>242900</v>
      </c>
      <c r="CD17" s="19">
        <v>55333</v>
      </c>
      <c r="CE17" s="19">
        <v>3054</v>
      </c>
      <c r="CF17" s="19">
        <v>47207</v>
      </c>
      <c r="CG17" s="19">
        <v>9128</v>
      </c>
      <c r="CH17" s="19">
        <v>0</v>
      </c>
    </row>
    <row r="18" spans="2:86" x14ac:dyDescent="0.15">
      <c r="B18" s="17">
        <v>0</v>
      </c>
      <c r="C18" s="17" t="s">
        <v>62</v>
      </c>
      <c r="D18" s="17">
        <v>1465</v>
      </c>
      <c r="E18" s="17" t="s">
        <v>88</v>
      </c>
      <c r="F18" s="17" t="s">
        <v>89</v>
      </c>
      <c r="G18" s="17">
        <v>22</v>
      </c>
      <c r="H18" s="17" t="s">
        <v>62</v>
      </c>
      <c r="I18" s="17">
        <v>6</v>
      </c>
      <c r="J18" s="17" t="s">
        <v>73</v>
      </c>
      <c r="K18" s="17">
        <v>3</v>
      </c>
      <c r="L18" s="17" t="s">
        <v>93</v>
      </c>
      <c r="M18" s="17">
        <v>41400</v>
      </c>
      <c r="N18" s="17" t="s">
        <v>90</v>
      </c>
      <c r="O18" s="19">
        <v>251800</v>
      </c>
      <c r="P18" s="19">
        <v>56500</v>
      </c>
      <c r="Q18" s="19">
        <v>3073</v>
      </c>
      <c r="R18" s="19">
        <v>42583</v>
      </c>
      <c r="S18" s="19">
        <v>12451</v>
      </c>
      <c r="T18" s="19">
        <v>24620</v>
      </c>
      <c r="U18" s="19">
        <v>247800</v>
      </c>
      <c r="V18" s="19">
        <v>56500</v>
      </c>
      <c r="W18" s="19">
        <v>2906</v>
      </c>
      <c r="X18" s="19">
        <v>42583</v>
      </c>
      <c r="Y18" s="19">
        <v>12451</v>
      </c>
      <c r="Z18" s="19">
        <v>0</v>
      </c>
      <c r="AA18" s="19">
        <v>262300</v>
      </c>
      <c r="AB18" s="19">
        <v>56500</v>
      </c>
      <c r="AC18" s="19">
        <v>2940</v>
      </c>
      <c r="AD18" s="19">
        <v>42583</v>
      </c>
      <c r="AE18" s="19">
        <v>12451</v>
      </c>
      <c r="AF18" s="19">
        <v>0</v>
      </c>
      <c r="AG18" s="19">
        <v>272200</v>
      </c>
      <c r="AH18" s="19">
        <v>56500</v>
      </c>
      <c r="AI18" s="19">
        <v>3239</v>
      </c>
      <c r="AJ18" s="19">
        <v>42583</v>
      </c>
      <c r="AK18" s="19">
        <v>12451</v>
      </c>
      <c r="AL18" s="19">
        <v>24620</v>
      </c>
      <c r="AM18" s="19">
        <v>237500</v>
      </c>
      <c r="AN18" s="19">
        <v>56500</v>
      </c>
      <c r="AO18" s="19">
        <v>3099</v>
      </c>
      <c r="AP18" s="19">
        <v>42583</v>
      </c>
      <c r="AQ18" s="19">
        <v>12451</v>
      </c>
      <c r="AR18" s="19">
        <v>0</v>
      </c>
      <c r="AS18" s="19">
        <v>237800</v>
      </c>
      <c r="AT18" s="19">
        <v>56500</v>
      </c>
      <c r="AU18" s="19">
        <v>2770</v>
      </c>
      <c r="AV18" s="19">
        <v>44479</v>
      </c>
      <c r="AW18" s="19">
        <v>12451</v>
      </c>
      <c r="AX18" s="19">
        <v>0</v>
      </c>
      <c r="AY18" s="19">
        <v>278600</v>
      </c>
      <c r="AZ18" s="19">
        <v>56500</v>
      </c>
      <c r="BA18" s="19">
        <v>3154</v>
      </c>
      <c r="BB18" s="19">
        <v>50886</v>
      </c>
      <c r="BC18" s="19">
        <v>12451</v>
      </c>
      <c r="BD18" s="19">
        <v>24620</v>
      </c>
      <c r="BE18" s="19">
        <v>288700</v>
      </c>
      <c r="BF18" s="19">
        <v>56500</v>
      </c>
      <c r="BG18" s="19">
        <v>3161</v>
      </c>
      <c r="BH18" s="19">
        <v>50886</v>
      </c>
      <c r="BI18" s="19">
        <v>12451</v>
      </c>
      <c r="BJ18" s="19">
        <v>0</v>
      </c>
      <c r="BK18" s="19">
        <v>290200</v>
      </c>
      <c r="BL18" s="19">
        <v>56500</v>
      </c>
      <c r="BM18" s="19">
        <v>3256</v>
      </c>
      <c r="BN18" s="19">
        <v>50886</v>
      </c>
      <c r="BO18" s="19">
        <v>12451</v>
      </c>
      <c r="BP18" s="19">
        <v>0</v>
      </c>
      <c r="BQ18" s="19">
        <v>227000</v>
      </c>
      <c r="BR18" s="19">
        <v>56500</v>
      </c>
      <c r="BS18" s="19">
        <v>3628</v>
      </c>
      <c r="BT18" s="19">
        <v>42571</v>
      </c>
      <c r="BU18" s="19">
        <v>12451</v>
      </c>
      <c r="BV18" s="19">
        <v>24620</v>
      </c>
      <c r="BW18" s="19">
        <v>236300</v>
      </c>
      <c r="BX18" s="19">
        <v>56500</v>
      </c>
      <c r="BY18" s="19">
        <v>2895</v>
      </c>
      <c r="BZ18" s="19">
        <v>42571</v>
      </c>
      <c r="CA18" s="19">
        <v>12451</v>
      </c>
      <c r="CB18" s="19">
        <v>0</v>
      </c>
      <c r="CC18" s="19">
        <v>244800</v>
      </c>
      <c r="CD18" s="19">
        <v>56500</v>
      </c>
      <c r="CE18" s="19">
        <v>2993</v>
      </c>
      <c r="CF18" s="19">
        <v>42571</v>
      </c>
      <c r="CG18" s="19">
        <v>12451</v>
      </c>
      <c r="CH18" s="19">
        <v>0</v>
      </c>
    </row>
    <row r="19" spans="2:86" x14ac:dyDescent="0.15">
      <c r="B19" s="17">
        <v>0</v>
      </c>
      <c r="C19" s="17" t="s">
        <v>62</v>
      </c>
      <c r="D19" s="17">
        <v>1454</v>
      </c>
      <c r="E19" s="17" t="s">
        <v>102</v>
      </c>
      <c r="F19" s="17" t="s">
        <v>103</v>
      </c>
      <c r="G19" s="17">
        <v>22</v>
      </c>
      <c r="H19" s="17" t="s">
        <v>62</v>
      </c>
      <c r="I19" s="17">
        <v>6</v>
      </c>
      <c r="J19" s="17" t="s">
        <v>73</v>
      </c>
      <c r="K19" s="17">
        <v>3</v>
      </c>
      <c r="L19" s="17" t="s">
        <v>93</v>
      </c>
      <c r="M19" s="17">
        <v>41400</v>
      </c>
      <c r="N19" s="17" t="s">
        <v>90</v>
      </c>
      <c r="O19" s="19">
        <v>175700</v>
      </c>
      <c r="P19" s="19">
        <v>44500</v>
      </c>
      <c r="Q19" s="19">
        <v>2475</v>
      </c>
      <c r="R19" s="19">
        <v>33283</v>
      </c>
      <c r="S19" s="19">
        <v>11303</v>
      </c>
      <c r="T19" s="19">
        <v>39340</v>
      </c>
      <c r="U19" s="19">
        <v>186300</v>
      </c>
      <c r="V19" s="19">
        <v>44500</v>
      </c>
      <c r="W19" s="19">
        <v>2075</v>
      </c>
      <c r="X19" s="19">
        <v>33283</v>
      </c>
      <c r="Y19" s="19">
        <v>11303</v>
      </c>
      <c r="Z19" s="19">
        <v>0</v>
      </c>
      <c r="AA19" s="19">
        <v>180200</v>
      </c>
      <c r="AB19" s="19">
        <v>44500</v>
      </c>
      <c r="AC19" s="19">
        <v>2372</v>
      </c>
      <c r="AD19" s="19">
        <v>33283</v>
      </c>
      <c r="AE19" s="19">
        <v>11303</v>
      </c>
      <c r="AF19" s="19">
        <v>0</v>
      </c>
      <c r="AG19" s="19">
        <v>180200</v>
      </c>
      <c r="AH19" s="19">
        <v>44500</v>
      </c>
      <c r="AI19" s="19">
        <v>2491</v>
      </c>
      <c r="AJ19" s="19">
        <v>33283</v>
      </c>
      <c r="AK19" s="19">
        <v>11303</v>
      </c>
      <c r="AL19" s="19">
        <v>39340</v>
      </c>
      <c r="AM19" s="19">
        <v>185500</v>
      </c>
      <c r="AN19" s="19">
        <v>44500</v>
      </c>
      <c r="AO19" s="19">
        <v>2118</v>
      </c>
      <c r="AP19" s="19">
        <v>33283</v>
      </c>
      <c r="AQ19" s="19">
        <v>11303</v>
      </c>
      <c r="AR19" s="19">
        <v>0</v>
      </c>
      <c r="AS19" s="19">
        <v>193200</v>
      </c>
      <c r="AT19" s="19">
        <v>44500</v>
      </c>
      <c r="AU19" s="19">
        <v>2168</v>
      </c>
      <c r="AV19" s="19">
        <v>33283</v>
      </c>
      <c r="AW19" s="19">
        <v>11303</v>
      </c>
      <c r="AX19" s="19">
        <v>0</v>
      </c>
      <c r="AY19" s="19">
        <v>205300</v>
      </c>
      <c r="AZ19" s="19">
        <v>44500</v>
      </c>
      <c r="BA19" s="19">
        <v>2724</v>
      </c>
      <c r="BB19" s="19">
        <v>35035</v>
      </c>
      <c r="BC19" s="19">
        <v>11303</v>
      </c>
      <c r="BD19" s="19">
        <v>39340</v>
      </c>
      <c r="BE19" s="19">
        <v>204700</v>
      </c>
      <c r="BF19" s="19">
        <v>44500</v>
      </c>
      <c r="BG19" s="19">
        <v>2356</v>
      </c>
      <c r="BH19" s="19">
        <v>35035</v>
      </c>
      <c r="BI19" s="19">
        <v>11303</v>
      </c>
      <c r="BJ19" s="19">
        <v>0</v>
      </c>
      <c r="BK19" s="19">
        <v>221300</v>
      </c>
      <c r="BL19" s="19">
        <v>44500</v>
      </c>
      <c r="BM19" s="19">
        <v>2351</v>
      </c>
      <c r="BN19" s="19">
        <v>35035</v>
      </c>
      <c r="BO19" s="19">
        <v>11303</v>
      </c>
      <c r="BP19" s="19">
        <v>0</v>
      </c>
      <c r="BQ19" s="19">
        <v>174100</v>
      </c>
      <c r="BR19" s="19">
        <v>44500</v>
      </c>
      <c r="BS19" s="19">
        <v>2947</v>
      </c>
      <c r="BT19" s="19">
        <v>33273</v>
      </c>
      <c r="BU19" s="19">
        <v>11303</v>
      </c>
      <c r="BV19" s="19">
        <v>39340</v>
      </c>
      <c r="BW19" s="19">
        <v>170900</v>
      </c>
      <c r="BX19" s="19">
        <v>44500</v>
      </c>
      <c r="BY19" s="19">
        <v>2232</v>
      </c>
      <c r="BZ19" s="19">
        <v>33273</v>
      </c>
      <c r="CA19" s="19">
        <v>11303</v>
      </c>
      <c r="CB19" s="19">
        <v>0</v>
      </c>
      <c r="CC19" s="19">
        <v>178600</v>
      </c>
      <c r="CD19" s="19">
        <v>44500</v>
      </c>
      <c r="CE19" s="19">
        <v>2199</v>
      </c>
      <c r="CF19" s="19">
        <v>33273</v>
      </c>
      <c r="CG19" s="19">
        <v>11303</v>
      </c>
      <c r="CH19" s="19">
        <v>0</v>
      </c>
    </row>
    <row r="20" spans="2:86" x14ac:dyDescent="0.15">
      <c r="B20" s="17">
        <v>0</v>
      </c>
      <c r="C20" s="17" t="s">
        <v>62</v>
      </c>
      <c r="D20" s="17">
        <v>1456</v>
      </c>
      <c r="E20" s="17" t="s">
        <v>67</v>
      </c>
      <c r="F20" s="17" t="s">
        <v>97</v>
      </c>
      <c r="G20" s="17">
        <v>22</v>
      </c>
      <c r="H20" s="17" t="s">
        <v>62</v>
      </c>
      <c r="I20" s="17">
        <v>6</v>
      </c>
      <c r="J20" s="17" t="s">
        <v>73</v>
      </c>
      <c r="K20" s="17">
        <v>3</v>
      </c>
      <c r="L20" s="17" t="s">
        <v>93</v>
      </c>
      <c r="M20" s="17">
        <v>41400</v>
      </c>
      <c r="N20" s="17" t="s">
        <v>90</v>
      </c>
      <c r="O20" s="19">
        <v>253900</v>
      </c>
      <c r="P20" s="19">
        <v>50000</v>
      </c>
      <c r="Q20" s="19">
        <v>2877</v>
      </c>
      <c r="R20" s="19">
        <v>38338</v>
      </c>
      <c r="S20" s="19">
        <v>10480</v>
      </c>
      <c r="T20" s="19">
        <v>29550</v>
      </c>
      <c r="U20" s="19">
        <v>237300</v>
      </c>
      <c r="V20" s="19">
        <v>50000</v>
      </c>
      <c r="W20" s="19">
        <v>2867</v>
      </c>
      <c r="X20" s="19">
        <v>38338</v>
      </c>
      <c r="Y20" s="19">
        <v>10480</v>
      </c>
      <c r="Z20" s="19">
        <v>0</v>
      </c>
      <c r="AA20" s="19">
        <v>219900</v>
      </c>
      <c r="AB20" s="19">
        <v>50000</v>
      </c>
      <c r="AC20" s="19">
        <v>2758</v>
      </c>
      <c r="AD20" s="19">
        <v>38338</v>
      </c>
      <c r="AE20" s="19">
        <v>10480</v>
      </c>
      <c r="AF20" s="19">
        <v>0</v>
      </c>
      <c r="AG20" s="19">
        <v>225800</v>
      </c>
      <c r="AH20" s="19">
        <v>50000</v>
      </c>
      <c r="AI20" s="19">
        <v>2825</v>
      </c>
      <c r="AJ20" s="19">
        <v>38338</v>
      </c>
      <c r="AK20" s="19">
        <v>10480</v>
      </c>
      <c r="AL20" s="19">
        <v>29550</v>
      </c>
      <c r="AM20" s="19">
        <v>237800</v>
      </c>
      <c r="AN20" s="19">
        <v>50000</v>
      </c>
      <c r="AO20" s="19">
        <v>2601</v>
      </c>
      <c r="AP20" s="19">
        <v>38338</v>
      </c>
      <c r="AQ20" s="19">
        <v>10480</v>
      </c>
      <c r="AR20" s="19">
        <v>0</v>
      </c>
      <c r="AS20" s="19">
        <v>218800</v>
      </c>
      <c r="AT20" s="19">
        <v>50000</v>
      </c>
      <c r="AU20" s="19">
        <v>2715</v>
      </c>
      <c r="AV20" s="19">
        <v>38338</v>
      </c>
      <c r="AW20" s="19">
        <v>10480</v>
      </c>
      <c r="AX20" s="19">
        <v>0</v>
      </c>
      <c r="AY20" s="19">
        <v>259300</v>
      </c>
      <c r="AZ20" s="19">
        <v>50000</v>
      </c>
      <c r="BA20" s="19">
        <v>2943</v>
      </c>
      <c r="BB20" s="19">
        <v>41560</v>
      </c>
      <c r="BC20" s="19">
        <v>10480</v>
      </c>
      <c r="BD20" s="19">
        <v>29550</v>
      </c>
      <c r="BE20" s="19">
        <v>238200</v>
      </c>
      <c r="BF20" s="19">
        <v>50000</v>
      </c>
      <c r="BG20" s="19">
        <v>2919</v>
      </c>
      <c r="BH20" s="19">
        <v>41560</v>
      </c>
      <c r="BI20" s="19">
        <v>10480</v>
      </c>
      <c r="BJ20" s="19">
        <v>0</v>
      </c>
      <c r="BK20" s="19">
        <v>271400</v>
      </c>
      <c r="BL20" s="19">
        <v>50000</v>
      </c>
      <c r="BM20" s="19">
        <v>2718</v>
      </c>
      <c r="BN20" s="19">
        <v>41560</v>
      </c>
      <c r="BO20" s="19">
        <v>10480</v>
      </c>
      <c r="BP20" s="19">
        <v>0</v>
      </c>
      <c r="BQ20" s="19">
        <v>212600</v>
      </c>
      <c r="BR20" s="19">
        <v>50000</v>
      </c>
      <c r="BS20" s="19">
        <v>3454</v>
      </c>
      <c r="BT20" s="19">
        <v>38327</v>
      </c>
      <c r="BU20" s="19">
        <v>10480</v>
      </c>
      <c r="BV20" s="19">
        <v>29550</v>
      </c>
      <c r="BW20" s="19">
        <v>219200</v>
      </c>
      <c r="BX20" s="19">
        <v>50000</v>
      </c>
      <c r="BY20" s="19">
        <v>2686</v>
      </c>
      <c r="BZ20" s="19">
        <v>38327</v>
      </c>
      <c r="CA20" s="19">
        <v>10480</v>
      </c>
      <c r="CB20" s="19">
        <v>0</v>
      </c>
      <c r="CC20" s="19">
        <v>225400</v>
      </c>
      <c r="CD20" s="19">
        <v>50000</v>
      </c>
      <c r="CE20" s="19">
        <v>2756</v>
      </c>
      <c r="CF20" s="19">
        <v>38327</v>
      </c>
      <c r="CG20" s="19">
        <v>10480</v>
      </c>
      <c r="CH20" s="19">
        <v>0</v>
      </c>
    </row>
    <row r="21" spans="2:86" x14ac:dyDescent="0.15">
      <c r="B21" s="17">
        <v>0</v>
      </c>
      <c r="C21" s="17" t="s">
        <v>62</v>
      </c>
      <c r="D21" s="17">
        <v>1466</v>
      </c>
      <c r="E21" s="17" t="s">
        <v>100</v>
      </c>
      <c r="F21" s="17" t="s">
        <v>101</v>
      </c>
      <c r="G21" s="17">
        <v>22</v>
      </c>
      <c r="H21" s="17" t="s">
        <v>62</v>
      </c>
      <c r="I21" s="17">
        <v>6</v>
      </c>
      <c r="J21" s="17" t="s">
        <v>73</v>
      </c>
      <c r="K21" s="17">
        <v>3</v>
      </c>
      <c r="L21" s="17" t="s">
        <v>93</v>
      </c>
      <c r="M21" s="17">
        <v>41400</v>
      </c>
      <c r="N21" s="17" t="s">
        <v>90</v>
      </c>
      <c r="O21" s="19">
        <v>252600</v>
      </c>
      <c r="P21" s="19">
        <v>54833</v>
      </c>
      <c r="Q21" s="19">
        <v>3090</v>
      </c>
      <c r="R21" s="19">
        <v>41860</v>
      </c>
      <c r="S21" s="19">
        <v>12540</v>
      </c>
      <c r="T21" s="19">
        <v>29550</v>
      </c>
      <c r="U21" s="19">
        <v>247800</v>
      </c>
      <c r="V21" s="19">
        <v>54833</v>
      </c>
      <c r="W21" s="19">
        <v>2900</v>
      </c>
      <c r="X21" s="19">
        <v>41860</v>
      </c>
      <c r="Y21" s="19">
        <v>12540</v>
      </c>
      <c r="Z21" s="19">
        <v>0</v>
      </c>
      <c r="AA21" s="19">
        <v>245000</v>
      </c>
      <c r="AB21" s="19">
        <v>54833</v>
      </c>
      <c r="AC21" s="19">
        <v>2912</v>
      </c>
      <c r="AD21" s="19">
        <v>41860</v>
      </c>
      <c r="AE21" s="19">
        <v>12540</v>
      </c>
      <c r="AF21" s="19">
        <v>0</v>
      </c>
      <c r="AG21" s="19">
        <v>245000</v>
      </c>
      <c r="AH21" s="19">
        <v>54833</v>
      </c>
      <c r="AI21" s="19">
        <v>3109</v>
      </c>
      <c r="AJ21" s="19">
        <v>41860</v>
      </c>
      <c r="AK21" s="19">
        <v>12540</v>
      </c>
      <c r="AL21" s="19">
        <v>29550</v>
      </c>
      <c r="AM21" s="19">
        <v>245000</v>
      </c>
      <c r="AN21" s="19">
        <v>54833</v>
      </c>
      <c r="AO21" s="19">
        <v>2829</v>
      </c>
      <c r="AP21" s="19">
        <v>41860</v>
      </c>
      <c r="AQ21" s="19">
        <v>12540</v>
      </c>
      <c r="AR21" s="19">
        <v>0</v>
      </c>
      <c r="AS21" s="19">
        <v>245000</v>
      </c>
      <c r="AT21" s="19">
        <v>54833</v>
      </c>
      <c r="AU21" s="19">
        <v>2829</v>
      </c>
      <c r="AV21" s="19">
        <v>41860</v>
      </c>
      <c r="AW21" s="19">
        <v>12540</v>
      </c>
      <c r="AX21" s="19">
        <v>0</v>
      </c>
      <c r="AY21" s="19">
        <v>245000</v>
      </c>
      <c r="AZ21" s="19">
        <v>54833</v>
      </c>
      <c r="BA21" s="19">
        <v>3109</v>
      </c>
      <c r="BB21" s="19">
        <v>45118</v>
      </c>
      <c r="BC21" s="19">
        <v>12540</v>
      </c>
      <c r="BD21" s="19">
        <v>29550</v>
      </c>
      <c r="BE21" s="19">
        <v>245000</v>
      </c>
      <c r="BF21" s="19">
        <v>54833</v>
      </c>
      <c r="BG21" s="19">
        <v>2829</v>
      </c>
      <c r="BH21" s="19">
        <v>45118</v>
      </c>
      <c r="BI21" s="19">
        <v>12540</v>
      </c>
      <c r="BJ21" s="19">
        <v>0</v>
      </c>
      <c r="BK21" s="19">
        <v>245000</v>
      </c>
      <c r="BL21" s="19">
        <v>54833</v>
      </c>
      <c r="BM21" s="19">
        <v>2829</v>
      </c>
      <c r="BN21" s="19">
        <v>45118</v>
      </c>
      <c r="BO21" s="19">
        <v>12540</v>
      </c>
      <c r="BP21" s="19">
        <v>0</v>
      </c>
      <c r="BQ21" s="19">
        <v>243000</v>
      </c>
      <c r="BR21" s="19">
        <v>54833</v>
      </c>
      <c r="BS21" s="19">
        <v>3360</v>
      </c>
      <c r="BT21" s="19">
        <v>41848</v>
      </c>
      <c r="BU21" s="19">
        <v>12540</v>
      </c>
      <c r="BV21" s="19">
        <v>29550</v>
      </c>
      <c r="BW21" s="19">
        <v>243000</v>
      </c>
      <c r="BX21" s="19">
        <v>54833</v>
      </c>
      <c r="BY21" s="19">
        <v>3051</v>
      </c>
      <c r="BZ21" s="19">
        <v>41848</v>
      </c>
      <c r="CA21" s="19">
        <v>12540</v>
      </c>
      <c r="CB21" s="19">
        <v>0</v>
      </c>
      <c r="CC21" s="19">
        <v>243000</v>
      </c>
      <c r="CD21" s="19">
        <v>54833</v>
      </c>
      <c r="CE21" s="19">
        <v>3051</v>
      </c>
      <c r="CF21" s="19">
        <v>41848</v>
      </c>
      <c r="CG21" s="19">
        <v>12540</v>
      </c>
      <c r="CH21" s="19">
        <v>0</v>
      </c>
    </row>
    <row r="22" spans="2:86" x14ac:dyDescent="0.15">
      <c r="B22" s="17">
        <v>0</v>
      </c>
      <c r="C22" s="17" t="s">
        <v>62</v>
      </c>
      <c r="D22" s="17">
        <v>1257</v>
      </c>
      <c r="E22" s="17" t="s">
        <v>94</v>
      </c>
      <c r="F22" s="17" t="s">
        <v>95</v>
      </c>
      <c r="G22" s="17">
        <v>23</v>
      </c>
      <c r="H22" s="17" t="s">
        <v>150</v>
      </c>
      <c r="I22" s="17">
        <v>6</v>
      </c>
      <c r="J22" s="17" t="s">
        <v>73</v>
      </c>
      <c r="K22" s="17">
        <v>3</v>
      </c>
      <c r="L22" s="17" t="s">
        <v>93</v>
      </c>
      <c r="M22" s="17">
        <v>41400</v>
      </c>
      <c r="N22" s="17" t="s">
        <v>90</v>
      </c>
      <c r="O22" s="19">
        <v>233333</v>
      </c>
      <c r="P22" s="19">
        <v>0</v>
      </c>
      <c r="Q22" s="19">
        <v>2718</v>
      </c>
      <c r="R22" s="19">
        <v>38945</v>
      </c>
      <c r="S22" s="19">
        <v>0</v>
      </c>
      <c r="T22" s="19">
        <v>52890</v>
      </c>
      <c r="U22" s="19">
        <v>233333</v>
      </c>
      <c r="V22" s="19">
        <v>0</v>
      </c>
      <c r="W22" s="19">
        <v>2216</v>
      </c>
      <c r="X22" s="19">
        <v>38945</v>
      </c>
      <c r="Y22" s="19">
        <v>0</v>
      </c>
      <c r="Z22" s="19">
        <v>0</v>
      </c>
      <c r="AA22" s="19">
        <v>233333</v>
      </c>
      <c r="AB22" s="19">
        <v>0</v>
      </c>
      <c r="AC22" s="19">
        <v>2216</v>
      </c>
      <c r="AD22" s="19">
        <v>38945</v>
      </c>
      <c r="AE22" s="19">
        <v>0</v>
      </c>
      <c r="AF22" s="19">
        <v>0</v>
      </c>
      <c r="AG22" s="19">
        <v>233333</v>
      </c>
      <c r="AH22" s="19">
        <v>0</v>
      </c>
      <c r="AI22" s="19">
        <v>2718</v>
      </c>
      <c r="AJ22" s="19">
        <v>38945</v>
      </c>
      <c r="AK22" s="19">
        <v>0</v>
      </c>
      <c r="AL22" s="19">
        <v>52890</v>
      </c>
      <c r="AM22" s="19">
        <v>233333</v>
      </c>
      <c r="AN22" s="19">
        <v>0</v>
      </c>
      <c r="AO22" s="19">
        <v>2216</v>
      </c>
      <c r="AP22" s="19">
        <v>38945</v>
      </c>
      <c r="AQ22" s="19">
        <v>0</v>
      </c>
      <c r="AR22" s="19">
        <v>0</v>
      </c>
      <c r="AS22" s="19">
        <v>233333</v>
      </c>
      <c r="AT22" s="19">
        <v>0</v>
      </c>
      <c r="AU22" s="19">
        <v>2216</v>
      </c>
      <c r="AV22" s="19">
        <v>38945</v>
      </c>
      <c r="AW22" s="19">
        <v>0</v>
      </c>
      <c r="AX22" s="19">
        <v>0</v>
      </c>
      <c r="AY22" s="19">
        <v>233333</v>
      </c>
      <c r="AZ22" s="19">
        <v>0</v>
      </c>
      <c r="BA22" s="19">
        <v>2718</v>
      </c>
      <c r="BB22" s="19">
        <v>39406</v>
      </c>
      <c r="BC22" s="19">
        <v>0</v>
      </c>
      <c r="BD22" s="19">
        <v>52890</v>
      </c>
      <c r="BE22" s="19">
        <v>233333</v>
      </c>
      <c r="BF22" s="19">
        <v>0</v>
      </c>
      <c r="BG22" s="19">
        <v>2216</v>
      </c>
      <c r="BH22" s="19">
        <v>39406</v>
      </c>
      <c r="BI22" s="19">
        <v>0</v>
      </c>
      <c r="BJ22" s="19">
        <v>0</v>
      </c>
      <c r="BK22" s="19">
        <v>233337</v>
      </c>
      <c r="BL22" s="19">
        <v>0</v>
      </c>
      <c r="BM22" s="19">
        <v>2216</v>
      </c>
      <c r="BN22" s="19">
        <v>39406</v>
      </c>
      <c r="BO22" s="19">
        <v>0</v>
      </c>
      <c r="BP22" s="19">
        <v>0</v>
      </c>
      <c r="BQ22" s="19">
        <v>233333</v>
      </c>
      <c r="BR22" s="19">
        <v>0</v>
      </c>
      <c r="BS22" s="19">
        <v>3005</v>
      </c>
      <c r="BT22" s="19">
        <v>38932</v>
      </c>
      <c r="BU22" s="19">
        <v>0</v>
      </c>
      <c r="BV22" s="19">
        <v>52890</v>
      </c>
      <c r="BW22" s="19">
        <v>233333</v>
      </c>
      <c r="BX22" s="19">
        <v>0</v>
      </c>
      <c r="BY22" s="19">
        <v>2449</v>
      </c>
      <c r="BZ22" s="19">
        <v>38932</v>
      </c>
      <c r="CA22" s="19">
        <v>0</v>
      </c>
      <c r="CB22" s="19">
        <v>0</v>
      </c>
      <c r="CC22" s="19">
        <v>233333</v>
      </c>
      <c r="CD22" s="19">
        <v>0</v>
      </c>
      <c r="CE22" s="19">
        <v>2449</v>
      </c>
      <c r="CF22" s="19">
        <v>38932</v>
      </c>
      <c r="CG22" s="19">
        <v>0</v>
      </c>
      <c r="CH22" s="19">
        <v>0</v>
      </c>
    </row>
    <row r="23" spans="2:86" x14ac:dyDescent="0.15">
      <c r="B23" s="17">
        <v>0</v>
      </c>
      <c r="C23" s="17" t="s">
        <v>62</v>
      </c>
      <c r="D23" s="17">
        <v>1246</v>
      </c>
      <c r="E23" s="17" t="s">
        <v>84</v>
      </c>
      <c r="F23" s="17" t="s">
        <v>96</v>
      </c>
      <c r="G23" s="17">
        <v>22</v>
      </c>
      <c r="H23" s="17" t="s">
        <v>62</v>
      </c>
      <c r="I23" s="17">
        <v>6</v>
      </c>
      <c r="J23" s="17" t="s">
        <v>73</v>
      </c>
      <c r="K23" s="17">
        <v>3</v>
      </c>
      <c r="L23" s="17" t="s">
        <v>93</v>
      </c>
      <c r="M23" s="17">
        <v>41400</v>
      </c>
      <c r="N23" s="17" t="s">
        <v>90</v>
      </c>
      <c r="O23" s="19">
        <v>318200</v>
      </c>
      <c r="P23" s="19">
        <v>0</v>
      </c>
      <c r="Q23" s="19">
        <v>1566</v>
      </c>
      <c r="R23" s="19">
        <v>50929</v>
      </c>
      <c r="S23" s="19">
        <v>0</v>
      </c>
      <c r="T23" s="19">
        <v>75770</v>
      </c>
      <c r="U23" s="19">
        <v>318200</v>
      </c>
      <c r="V23" s="19">
        <v>0</v>
      </c>
      <c r="W23" s="19">
        <v>1263</v>
      </c>
      <c r="X23" s="19">
        <v>50929</v>
      </c>
      <c r="Y23" s="19">
        <v>0</v>
      </c>
      <c r="Z23" s="19">
        <v>0</v>
      </c>
      <c r="AA23" s="19">
        <v>318200</v>
      </c>
      <c r="AB23" s="19">
        <v>0</v>
      </c>
      <c r="AC23" s="19">
        <v>1263</v>
      </c>
      <c r="AD23" s="19">
        <v>50929</v>
      </c>
      <c r="AE23" s="19">
        <v>0</v>
      </c>
      <c r="AF23" s="19">
        <v>0</v>
      </c>
      <c r="AG23" s="19">
        <v>318200</v>
      </c>
      <c r="AH23" s="19">
        <v>0</v>
      </c>
      <c r="AI23" s="19">
        <v>1465</v>
      </c>
      <c r="AJ23" s="19">
        <v>50929</v>
      </c>
      <c r="AK23" s="19">
        <v>0</v>
      </c>
      <c r="AL23" s="19">
        <v>50514</v>
      </c>
      <c r="AM23" s="19">
        <v>318200</v>
      </c>
      <c r="AN23" s="19">
        <v>0</v>
      </c>
      <c r="AO23" s="19">
        <v>1263</v>
      </c>
      <c r="AP23" s="19">
        <v>50929</v>
      </c>
      <c r="AQ23" s="19">
        <v>0</v>
      </c>
      <c r="AR23" s="19">
        <v>0</v>
      </c>
      <c r="AS23" s="19">
        <v>318200</v>
      </c>
      <c r="AT23" s="19">
        <v>0</v>
      </c>
      <c r="AU23" s="19">
        <v>0</v>
      </c>
      <c r="AV23" s="19">
        <v>50929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7700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318200</v>
      </c>
      <c r="BR23" s="19">
        <v>0</v>
      </c>
      <c r="BS23" s="19">
        <v>1996</v>
      </c>
      <c r="BT23" s="19">
        <v>50912</v>
      </c>
      <c r="BU23" s="19">
        <v>0</v>
      </c>
      <c r="BV23" s="19">
        <v>75770</v>
      </c>
      <c r="BW23" s="19">
        <v>318200</v>
      </c>
      <c r="BX23" s="19">
        <v>0</v>
      </c>
      <c r="BY23" s="19">
        <v>1579</v>
      </c>
      <c r="BZ23" s="19">
        <v>50912</v>
      </c>
      <c r="CA23" s="19">
        <v>0</v>
      </c>
      <c r="CB23" s="19">
        <v>0</v>
      </c>
      <c r="CC23" s="19">
        <v>318200</v>
      </c>
      <c r="CD23" s="19">
        <v>0</v>
      </c>
      <c r="CE23" s="19">
        <v>1579</v>
      </c>
      <c r="CF23" s="19">
        <v>50912</v>
      </c>
      <c r="CG23" s="19">
        <v>0</v>
      </c>
      <c r="CH23" s="19">
        <v>0</v>
      </c>
    </row>
    <row r="24" spans="2:86" x14ac:dyDescent="0.15">
      <c r="B24" s="17">
        <v>1</v>
      </c>
      <c r="C24" s="17" t="s">
        <v>70</v>
      </c>
      <c r="D24" s="17">
        <v>6038</v>
      </c>
      <c r="E24" s="17" t="s">
        <v>84</v>
      </c>
      <c r="F24" s="17" t="s">
        <v>96</v>
      </c>
      <c r="G24" s="17">
        <v>24</v>
      </c>
      <c r="H24" s="17" t="s">
        <v>70</v>
      </c>
      <c r="I24" s="17">
        <v>6</v>
      </c>
      <c r="J24" s="17" t="s">
        <v>73</v>
      </c>
      <c r="K24" s="17">
        <v>3</v>
      </c>
      <c r="L24" s="17" t="s">
        <v>93</v>
      </c>
      <c r="M24" s="17">
        <v>41400</v>
      </c>
      <c r="N24" s="17" t="s">
        <v>90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0</v>
      </c>
      <c r="AL24" s="19">
        <v>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251580</v>
      </c>
      <c r="BF24" s="19">
        <v>0</v>
      </c>
      <c r="BG24" s="19">
        <v>2649</v>
      </c>
      <c r="BH24" s="19">
        <v>51530</v>
      </c>
      <c r="BI24" s="19">
        <v>0</v>
      </c>
      <c r="BJ24" s="19">
        <v>27350</v>
      </c>
      <c r="BK24" s="19">
        <v>229100</v>
      </c>
      <c r="BL24" s="19">
        <v>0</v>
      </c>
      <c r="BM24" s="19">
        <v>2435</v>
      </c>
      <c r="BN24" s="19">
        <v>51530</v>
      </c>
      <c r="BO24" s="19">
        <v>0</v>
      </c>
      <c r="BP24" s="19">
        <v>27350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</row>
    <row r="25" spans="2:86" x14ac:dyDescent="0.15">
      <c r="O25" s="19">
        <f t="shared" ref="O25:AT25" si="2">SUM(O14:O24)</f>
        <v>2422893</v>
      </c>
      <c r="P25" s="19">
        <f t="shared" si="2"/>
        <v>488831</v>
      </c>
      <c r="Q25" s="19">
        <f t="shared" si="2"/>
        <v>28143</v>
      </c>
      <c r="R25" s="19">
        <f t="shared" si="2"/>
        <v>430315</v>
      </c>
      <c r="S25" s="19">
        <f t="shared" si="2"/>
        <v>76196</v>
      </c>
      <c r="T25" s="19">
        <f t="shared" si="2"/>
        <v>335440</v>
      </c>
      <c r="U25" s="19">
        <f t="shared" si="2"/>
        <v>2759838</v>
      </c>
      <c r="V25" s="19">
        <f t="shared" si="2"/>
        <v>488831</v>
      </c>
      <c r="W25" s="19">
        <f t="shared" si="2"/>
        <v>29146</v>
      </c>
      <c r="X25" s="19">
        <f t="shared" si="2"/>
        <v>430955</v>
      </c>
      <c r="Y25" s="19">
        <f t="shared" si="2"/>
        <v>98460</v>
      </c>
      <c r="Z25" s="19">
        <f t="shared" si="2"/>
        <v>48520</v>
      </c>
      <c r="AA25" s="19">
        <f t="shared" si="2"/>
        <v>2713551</v>
      </c>
      <c r="AB25" s="19">
        <f t="shared" si="2"/>
        <v>488831</v>
      </c>
      <c r="AC25" s="19">
        <f t="shared" si="2"/>
        <v>29250</v>
      </c>
      <c r="AD25" s="19">
        <f t="shared" si="2"/>
        <v>475720</v>
      </c>
      <c r="AE25" s="19">
        <f t="shared" si="2"/>
        <v>98460</v>
      </c>
      <c r="AF25" s="19">
        <f t="shared" si="2"/>
        <v>0</v>
      </c>
      <c r="AG25" s="19">
        <f t="shared" si="2"/>
        <v>2729843</v>
      </c>
      <c r="AH25" s="19">
        <f t="shared" si="2"/>
        <v>488831</v>
      </c>
      <c r="AI25" s="19">
        <f t="shared" si="2"/>
        <v>31737</v>
      </c>
      <c r="AJ25" s="19">
        <f t="shared" si="2"/>
        <v>475720</v>
      </c>
      <c r="AK25" s="19">
        <f t="shared" si="2"/>
        <v>98460</v>
      </c>
      <c r="AL25" s="19">
        <f t="shared" si="2"/>
        <v>358704</v>
      </c>
      <c r="AM25" s="19">
        <f t="shared" si="2"/>
        <v>2738174</v>
      </c>
      <c r="AN25" s="19">
        <f t="shared" si="2"/>
        <v>488831</v>
      </c>
      <c r="AO25" s="19">
        <f t="shared" si="2"/>
        <v>28622</v>
      </c>
      <c r="AP25" s="19">
        <f t="shared" si="2"/>
        <v>475720</v>
      </c>
      <c r="AQ25" s="19">
        <f t="shared" si="2"/>
        <v>98460</v>
      </c>
      <c r="AR25" s="19">
        <f t="shared" si="2"/>
        <v>0</v>
      </c>
      <c r="AS25" s="19">
        <f t="shared" si="2"/>
        <v>2702442</v>
      </c>
      <c r="AT25" s="19">
        <f t="shared" si="2"/>
        <v>488831</v>
      </c>
      <c r="AU25" s="19">
        <f t="shared" ref="AU25:BZ25" si="3">SUM(AU14:AU24)</f>
        <v>27440</v>
      </c>
      <c r="AV25" s="19">
        <f t="shared" si="3"/>
        <v>477616</v>
      </c>
      <c r="AW25" s="19">
        <f t="shared" si="3"/>
        <v>98460</v>
      </c>
      <c r="AX25" s="19">
        <f t="shared" si="3"/>
        <v>0</v>
      </c>
      <c r="AY25" s="19">
        <f t="shared" si="3"/>
        <v>2537459</v>
      </c>
      <c r="AZ25" s="19">
        <f t="shared" si="3"/>
        <v>488831</v>
      </c>
      <c r="BA25" s="19">
        <f t="shared" si="3"/>
        <v>30411</v>
      </c>
      <c r="BB25" s="19">
        <f t="shared" si="3"/>
        <v>450018</v>
      </c>
      <c r="BC25" s="19">
        <f t="shared" si="3"/>
        <v>98460</v>
      </c>
      <c r="BD25" s="19">
        <f t="shared" si="3"/>
        <v>308190</v>
      </c>
      <c r="BE25" s="19">
        <f t="shared" si="3"/>
        <v>2753923</v>
      </c>
      <c r="BF25" s="19">
        <f t="shared" si="3"/>
        <v>488831</v>
      </c>
      <c r="BG25" s="19">
        <f t="shared" si="3"/>
        <v>31204</v>
      </c>
      <c r="BH25" s="19">
        <f t="shared" si="3"/>
        <v>501548</v>
      </c>
      <c r="BI25" s="19">
        <f t="shared" si="3"/>
        <v>98460</v>
      </c>
      <c r="BJ25" s="19">
        <f t="shared" si="3"/>
        <v>27350</v>
      </c>
      <c r="BK25" s="19">
        <f t="shared" si="3"/>
        <v>2774085</v>
      </c>
      <c r="BL25" s="19">
        <f t="shared" si="3"/>
        <v>488831</v>
      </c>
      <c r="BM25" s="19">
        <f t="shared" si="3"/>
        <v>30657</v>
      </c>
      <c r="BN25" s="19">
        <f t="shared" si="3"/>
        <v>501548</v>
      </c>
      <c r="BO25" s="19">
        <f t="shared" si="3"/>
        <v>98460</v>
      </c>
      <c r="BP25" s="19">
        <f t="shared" si="3"/>
        <v>27350</v>
      </c>
      <c r="BQ25" s="19">
        <f t="shared" si="3"/>
        <v>2332252</v>
      </c>
      <c r="BR25" s="19">
        <f t="shared" si="3"/>
        <v>488831</v>
      </c>
      <c r="BS25" s="19">
        <f t="shared" si="3"/>
        <v>32034</v>
      </c>
      <c r="BT25" s="19">
        <f t="shared" si="3"/>
        <v>430192</v>
      </c>
      <c r="BU25" s="19">
        <f t="shared" si="3"/>
        <v>76196</v>
      </c>
      <c r="BV25" s="19">
        <f t="shared" si="3"/>
        <v>335440</v>
      </c>
      <c r="BW25" s="19">
        <f t="shared" si="3"/>
        <v>2344953</v>
      </c>
      <c r="BX25" s="19">
        <f t="shared" si="3"/>
        <v>488831</v>
      </c>
      <c r="BY25" s="19">
        <f t="shared" si="3"/>
        <v>27191</v>
      </c>
      <c r="BZ25" s="19">
        <f t="shared" si="3"/>
        <v>430192</v>
      </c>
      <c r="CA25" s="19">
        <f t="shared" ref="CA25:DF25" si="4">SUM(CA14:CA24)</f>
        <v>76196</v>
      </c>
      <c r="CB25" s="19">
        <f t="shared" si="4"/>
        <v>0</v>
      </c>
      <c r="CC25" s="19">
        <f t="shared" si="4"/>
        <v>2384832</v>
      </c>
      <c r="CD25" s="19">
        <f t="shared" si="4"/>
        <v>488831</v>
      </c>
      <c r="CE25" s="19">
        <f t="shared" si="4"/>
        <v>27326</v>
      </c>
      <c r="CF25" s="19">
        <f t="shared" si="4"/>
        <v>430192</v>
      </c>
      <c r="CG25" s="19">
        <f t="shared" si="4"/>
        <v>76196</v>
      </c>
      <c r="CH25" s="19">
        <f t="shared" si="4"/>
        <v>0</v>
      </c>
    </row>
    <row r="26" spans="2:86" x14ac:dyDescent="0.15">
      <c r="B26" s="17">
        <v>0</v>
      </c>
      <c r="C26" s="17" t="s">
        <v>62</v>
      </c>
      <c r="D26" s="17">
        <v>1370</v>
      </c>
      <c r="E26" s="17" t="s">
        <v>98</v>
      </c>
      <c r="F26" s="17" t="s">
        <v>110</v>
      </c>
      <c r="G26" s="17">
        <v>18</v>
      </c>
      <c r="H26" s="17" t="s">
        <v>148</v>
      </c>
      <c r="I26" s="17">
        <v>6</v>
      </c>
      <c r="J26" s="17" t="s">
        <v>73</v>
      </c>
      <c r="K26" s="17">
        <v>4</v>
      </c>
      <c r="L26" s="17" t="s">
        <v>109</v>
      </c>
      <c r="M26" s="17">
        <v>41400</v>
      </c>
      <c r="N26" s="17" t="s">
        <v>90</v>
      </c>
      <c r="O26" s="19">
        <v>334400</v>
      </c>
      <c r="P26" s="19">
        <v>74166</v>
      </c>
      <c r="Q26" s="19">
        <v>4166</v>
      </c>
      <c r="R26" s="19">
        <v>62021</v>
      </c>
      <c r="S26" s="19">
        <v>14418</v>
      </c>
      <c r="T26" s="19">
        <v>44270</v>
      </c>
      <c r="U26" s="19">
        <v>328200</v>
      </c>
      <c r="V26" s="19">
        <v>74166</v>
      </c>
      <c r="W26" s="19">
        <v>3849</v>
      </c>
      <c r="X26" s="19">
        <v>62021</v>
      </c>
      <c r="Y26" s="19">
        <v>14418</v>
      </c>
      <c r="Z26" s="19">
        <v>0</v>
      </c>
      <c r="AA26" s="19">
        <v>315400</v>
      </c>
      <c r="AB26" s="19">
        <v>74166</v>
      </c>
      <c r="AC26" s="19">
        <v>3870</v>
      </c>
      <c r="AD26" s="19">
        <v>62021</v>
      </c>
      <c r="AE26" s="19">
        <v>14418</v>
      </c>
      <c r="AF26" s="19">
        <v>0</v>
      </c>
      <c r="AG26" s="19">
        <v>312400</v>
      </c>
      <c r="AH26" s="19">
        <v>74166</v>
      </c>
      <c r="AI26" s="19">
        <v>4089</v>
      </c>
      <c r="AJ26" s="19">
        <v>62021</v>
      </c>
      <c r="AK26" s="19">
        <v>14418</v>
      </c>
      <c r="AL26" s="19">
        <v>44270</v>
      </c>
      <c r="AM26" s="19">
        <v>315600</v>
      </c>
      <c r="AN26" s="19">
        <v>74166</v>
      </c>
      <c r="AO26" s="19">
        <v>3640</v>
      </c>
      <c r="AP26" s="19">
        <v>62021</v>
      </c>
      <c r="AQ26" s="19">
        <v>14418</v>
      </c>
      <c r="AR26" s="19">
        <v>0</v>
      </c>
      <c r="AS26" s="19">
        <v>320100</v>
      </c>
      <c r="AT26" s="19">
        <v>74166</v>
      </c>
      <c r="AU26" s="19">
        <v>3671</v>
      </c>
      <c r="AV26" s="19">
        <v>62021</v>
      </c>
      <c r="AW26" s="19">
        <v>14418</v>
      </c>
      <c r="AX26" s="19">
        <v>0</v>
      </c>
      <c r="AY26" s="19">
        <v>328900</v>
      </c>
      <c r="AZ26" s="19">
        <v>74166</v>
      </c>
      <c r="BA26" s="19">
        <v>4291</v>
      </c>
      <c r="BB26" s="19">
        <v>62622</v>
      </c>
      <c r="BC26" s="19">
        <v>14418</v>
      </c>
      <c r="BD26" s="19">
        <v>44270</v>
      </c>
      <c r="BE26" s="19">
        <v>328900</v>
      </c>
      <c r="BF26" s="19">
        <v>74166</v>
      </c>
      <c r="BG26" s="19">
        <v>3797</v>
      </c>
      <c r="BH26" s="19">
        <v>62622</v>
      </c>
      <c r="BI26" s="19">
        <v>14418</v>
      </c>
      <c r="BJ26" s="19">
        <v>0</v>
      </c>
      <c r="BK26" s="19">
        <v>336600</v>
      </c>
      <c r="BL26" s="19">
        <v>74166</v>
      </c>
      <c r="BM26" s="19">
        <v>3797</v>
      </c>
      <c r="BN26" s="19">
        <v>62622</v>
      </c>
      <c r="BO26" s="19">
        <v>14418</v>
      </c>
      <c r="BP26" s="19">
        <v>0</v>
      </c>
      <c r="BQ26" s="19">
        <v>328600</v>
      </c>
      <c r="BR26" s="19">
        <v>74166</v>
      </c>
      <c r="BS26" s="19">
        <v>4465</v>
      </c>
      <c r="BT26" s="19">
        <v>62004</v>
      </c>
      <c r="BU26" s="19">
        <v>14418</v>
      </c>
      <c r="BV26" s="19">
        <v>44270</v>
      </c>
      <c r="BW26" s="19">
        <v>328200</v>
      </c>
      <c r="BX26" s="19">
        <v>74166</v>
      </c>
      <c r="BY26" s="19">
        <v>4119</v>
      </c>
      <c r="BZ26" s="19">
        <v>62004</v>
      </c>
      <c r="CA26" s="19">
        <v>14418</v>
      </c>
      <c r="CB26" s="19">
        <v>0</v>
      </c>
      <c r="CC26" s="19">
        <v>323500</v>
      </c>
      <c r="CD26" s="19">
        <v>74166</v>
      </c>
      <c r="CE26" s="19">
        <v>4115</v>
      </c>
      <c r="CF26" s="19">
        <v>62004</v>
      </c>
      <c r="CG26" s="19">
        <v>14418</v>
      </c>
      <c r="CH26" s="19">
        <v>0</v>
      </c>
    </row>
    <row r="27" spans="2:86" x14ac:dyDescent="0.15">
      <c r="B27" s="17">
        <v>0</v>
      </c>
      <c r="C27" s="17" t="s">
        <v>62</v>
      </c>
      <c r="D27" s="17">
        <v>1452</v>
      </c>
      <c r="E27" s="17" t="s">
        <v>66</v>
      </c>
      <c r="F27" s="17" t="s">
        <v>108</v>
      </c>
      <c r="G27" s="17">
        <v>18</v>
      </c>
      <c r="H27" s="17" t="s">
        <v>148</v>
      </c>
      <c r="I27" s="17">
        <v>6</v>
      </c>
      <c r="J27" s="17" t="s">
        <v>73</v>
      </c>
      <c r="K27" s="17">
        <v>4</v>
      </c>
      <c r="L27" s="17" t="s">
        <v>109</v>
      </c>
      <c r="M27" s="17">
        <v>41400</v>
      </c>
      <c r="N27" s="17" t="s">
        <v>90</v>
      </c>
      <c r="O27" s="19">
        <v>293300</v>
      </c>
      <c r="P27" s="19">
        <v>84333</v>
      </c>
      <c r="Q27" s="19">
        <v>3968</v>
      </c>
      <c r="R27" s="19">
        <v>57549</v>
      </c>
      <c r="S27" s="19">
        <v>9554</v>
      </c>
      <c r="T27" s="19">
        <v>43510</v>
      </c>
      <c r="U27" s="19">
        <v>293300</v>
      </c>
      <c r="V27" s="19">
        <v>84333</v>
      </c>
      <c r="W27" s="19">
        <v>3555</v>
      </c>
      <c r="X27" s="19">
        <v>57549</v>
      </c>
      <c r="Y27" s="19">
        <v>9554</v>
      </c>
      <c r="Z27" s="19">
        <v>0</v>
      </c>
      <c r="AA27" s="19">
        <v>296000</v>
      </c>
      <c r="AB27" s="19">
        <v>84333</v>
      </c>
      <c r="AC27" s="19">
        <v>3632</v>
      </c>
      <c r="AD27" s="19">
        <v>57549</v>
      </c>
      <c r="AE27" s="19">
        <v>9554</v>
      </c>
      <c r="AF27" s="19">
        <v>0</v>
      </c>
      <c r="AG27" s="19">
        <v>296000</v>
      </c>
      <c r="AH27" s="19">
        <v>84333</v>
      </c>
      <c r="AI27" s="19">
        <v>3993</v>
      </c>
      <c r="AJ27" s="19">
        <v>57549</v>
      </c>
      <c r="AK27" s="19">
        <v>9554</v>
      </c>
      <c r="AL27" s="19">
        <v>43510</v>
      </c>
      <c r="AM27" s="19">
        <v>296000</v>
      </c>
      <c r="AN27" s="19">
        <v>84333</v>
      </c>
      <c r="AO27" s="19">
        <v>3580</v>
      </c>
      <c r="AP27" s="19">
        <v>57549</v>
      </c>
      <c r="AQ27" s="19">
        <v>9554</v>
      </c>
      <c r="AR27" s="19">
        <v>0</v>
      </c>
      <c r="AS27" s="19">
        <v>296000</v>
      </c>
      <c r="AT27" s="19">
        <v>84333</v>
      </c>
      <c r="AU27" s="19">
        <v>3580</v>
      </c>
      <c r="AV27" s="19">
        <v>57549</v>
      </c>
      <c r="AW27" s="19">
        <v>9554</v>
      </c>
      <c r="AX27" s="19">
        <v>0</v>
      </c>
      <c r="AY27" s="19">
        <v>296000</v>
      </c>
      <c r="AZ27" s="19">
        <v>84333</v>
      </c>
      <c r="BA27" s="19">
        <v>3993</v>
      </c>
      <c r="BB27" s="19">
        <v>58080</v>
      </c>
      <c r="BC27" s="19">
        <v>9554</v>
      </c>
      <c r="BD27" s="19">
        <v>43510</v>
      </c>
      <c r="BE27" s="19">
        <v>296000</v>
      </c>
      <c r="BF27" s="19">
        <v>84333</v>
      </c>
      <c r="BG27" s="19">
        <v>3580</v>
      </c>
      <c r="BH27" s="19">
        <v>58080</v>
      </c>
      <c r="BI27" s="19">
        <v>9554</v>
      </c>
      <c r="BJ27" s="19">
        <v>0</v>
      </c>
      <c r="BK27" s="19">
        <v>296000</v>
      </c>
      <c r="BL27" s="19">
        <v>84333</v>
      </c>
      <c r="BM27" s="19">
        <v>3580</v>
      </c>
      <c r="BN27" s="19">
        <v>58080</v>
      </c>
      <c r="BO27" s="19">
        <v>9554</v>
      </c>
      <c r="BP27" s="19">
        <v>0</v>
      </c>
      <c r="BQ27" s="19">
        <v>293300</v>
      </c>
      <c r="BR27" s="19">
        <v>84333</v>
      </c>
      <c r="BS27" s="19">
        <v>4301</v>
      </c>
      <c r="BT27" s="19">
        <v>57534</v>
      </c>
      <c r="BU27" s="19">
        <v>9554</v>
      </c>
      <c r="BV27" s="19">
        <v>43510</v>
      </c>
      <c r="BW27" s="19">
        <v>293300</v>
      </c>
      <c r="BX27" s="19">
        <v>84333</v>
      </c>
      <c r="BY27" s="19">
        <v>3845</v>
      </c>
      <c r="BZ27" s="19">
        <v>57534</v>
      </c>
      <c r="CA27" s="19">
        <v>9554</v>
      </c>
      <c r="CB27" s="19">
        <v>0</v>
      </c>
      <c r="CC27" s="19">
        <v>293300</v>
      </c>
      <c r="CD27" s="19">
        <v>84333</v>
      </c>
      <c r="CE27" s="19">
        <v>3845</v>
      </c>
      <c r="CF27" s="19">
        <v>57534</v>
      </c>
      <c r="CG27" s="19">
        <v>9554</v>
      </c>
      <c r="CH27" s="19">
        <v>0</v>
      </c>
    </row>
    <row r="28" spans="2:86" x14ac:dyDescent="0.15">
      <c r="B28" s="17">
        <v>0</v>
      </c>
      <c r="C28" s="17" t="s">
        <v>62</v>
      </c>
      <c r="D28" s="17">
        <v>1302</v>
      </c>
      <c r="E28" s="17" t="s">
        <v>112</v>
      </c>
      <c r="F28" s="17" t="s">
        <v>113</v>
      </c>
      <c r="G28" s="17">
        <v>22</v>
      </c>
      <c r="H28" s="17" t="s">
        <v>62</v>
      </c>
      <c r="I28" s="17">
        <v>6</v>
      </c>
      <c r="J28" s="17" t="s">
        <v>73</v>
      </c>
      <c r="K28" s="17">
        <v>4</v>
      </c>
      <c r="L28" s="17" t="s">
        <v>109</v>
      </c>
      <c r="M28" s="17">
        <v>41400</v>
      </c>
      <c r="N28" s="17" t="s">
        <v>90</v>
      </c>
      <c r="O28" s="19">
        <v>307500</v>
      </c>
      <c r="P28" s="19">
        <v>71833</v>
      </c>
      <c r="Q28" s="19">
        <v>4005</v>
      </c>
      <c r="R28" s="19">
        <v>58675</v>
      </c>
      <c r="S28" s="19">
        <v>13764</v>
      </c>
      <c r="T28" s="19">
        <v>52890</v>
      </c>
      <c r="U28" s="19">
        <v>307500</v>
      </c>
      <c r="V28" s="19">
        <v>71833</v>
      </c>
      <c r="W28" s="19">
        <v>3581</v>
      </c>
      <c r="X28" s="19">
        <v>58675</v>
      </c>
      <c r="Y28" s="19">
        <v>13764</v>
      </c>
      <c r="Z28" s="19">
        <v>0</v>
      </c>
      <c r="AA28" s="19">
        <v>301500</v>
      </c>
      <c r="AB28" s="19">
        <v>71833</v>
      </c>
      <c r="AC28" s="19">
        <v>3647</v>
      </c>
      <c r="AD28" s="19">
        <v>58675</v>
      </c>
      <c r="AE28" s="19">
        <v>13764</v>
      </c>
      <c r="AF28" s="19">
        <v>0</v>
      </c>
      <c r="AG28" s="19">
        <v>301500</v>
      </c>
      <c r="AH28" s="19">
        <v>71833</v>
      </c>
      <c r="AI28" s="19">
        <v>4026</v>
      </c>
      <c r="AJ28" s="19">
        <v>58675</v>
      </c>
      <c r="AK28" s="19">
        <v>13764</v>
      </c>
      <c r="AL28" s="19">
        <v>52890</v>
      </c>
      <c r="AM28" s="19">
        <v>309800</v>
      </c>
      <c r="AN28" s="19">
        <v>71833</v>
      </c>
      <c r="AO28" s="19">
        <v>3524</v>
      </c>
      <c r="AP28" s="19">
        <v>58675</v>
      </c>
      <c r="AQ28" s="19">
        <v>13764</v>
      </c>
      <c r="AR28" s="19">
        <v>0</v>
      </c>
      <c r="AS28" s="19">
        <v>301500</v>
      </c>
      <c r="AT28" s="19">
        <v>71833</v>
      </c>
      <c r="AU28" s="19">
        <v>3603</v>
      </c>
      <c r="AV28" s="19">
        <v>58675</v>
      </c>
      <c r="AW28" s="19">
        <v>13764</v>
      </c>
      <c r="AX28" s="19">
        <v>0</v>
      </c>
      <c r="AY28" s="19">
        <v>309800</v>
      </c>
      <c r="AZ28" s="19">
        <v>71833</v>
      </c>
      <c r="BA28" s="19">
        <v>4026</v>
      </c>
      <c r="BB28" s="19">
        <v>59241</v>
      </c>
      <c r="BC28" s="19">
        <v>13764</v>
      </c>
      <c r="BD28" s="19">
        <v>52890</v>
      </c>
      <c r="BE28" s="19">
        <v>301500</v>
      </c>
      <c r="BF28" s="19">
        <v>71833</v>
      </c>
      <c r="BG28" s="19">
        <v>3603</v>
      </c>
      <c r="BH28" s="19">
        <v>59241</v>
      </c>
      <c r="BI28" s="19">
        <v>13764</v>
      </c>
      <c r="BJ28" s="19">
        <v>0</v>
      </c>
      <c r="BK28" s="19">
        <v>304700</v>
      </c>
      <c r="BL28" s="19">
        <v>71833</v>
      </c>
      <c r="BM28" s="19">
        <v>3524</v>
      </c>
      <c r="BN28" s="19">
        <v>59241</v>
      </c>
      <c r="BO28" s="19">
        <v>13764</v>
      </c>
      <c r="BP28" s="19">
        <v>0</v>
      </c>
      <c r="BQ28" s="19">
        <v>299200</v>
      </c>
      <c r="BR28" s="19">
        <v>71833</v>
      </c>
      <c r="BS28" s="19">
        <v>4387</v>
      </c>
      <c r="BT28" s="19">
        <v>58659</v>
      </c>
      <c r="BU28" s="19">
        <v>13764</v>
      </c>
      <c r="BV28" s="19">
        <v>52890</v>
      </c>
      <c r="BW28" s="19">
        <v>302400</v>
      </c>
      <c r="BX28" s="19">
        <v>71833</v>
      </c>
      <c r="BY28" s="19">
        <v>3799</v>
      </c>
      <c r="BZ28" s="19">
        <v>58659</v>
      </c>
      <c r="CA28" s="19">
        <v>13764</v>
      </c>
      <c r="CB28" s="19">
        <v>0</v>
      </c>
      <c r="CC28" s="19">
        <v>299200</v>
      </c>
      <c r="CD28" s="19">
        <v>71833</v>
      </c>
      <c r="CE28" s="19">
        <v>3833</v>
      </c>
      <c r="CF28" s="19">
        <v>58659</v>
      </c>
      <c r="CG28" s="19">
        <v>13764</v>
      </c>
      <c r="CH28" s="19">
        <v>0</v>
      </c>
    </row>
    <row r="29" spans="2:86" x14ac:dyDescent="0.15">
      <c r="B29" s="17">
        <v>0</v>
      </c>
      <c r="C29" s="17" t="s">
        <v>62</v>
      </c>
      <c r="D29" s="17">
        <v>1426</v>
      </c>
      <c r="E29" s="17" t="s">
        <v>114</v>
      </c>
      <c r="F29" s="17" t="s">
        <v>115</v>
      </c>
      <c r="G29" s="17">
        <v>22</v>
      </c>
      <c r="H29" s="17" t="s">
        <v>62</v>
      </c>
      <c r="I29" s="17">
        <v>6</v>
      </c>
      <c r="J29" s="17" t="s">
        <v>73</v>
      </c>
      <c r="K29" s="17">
        <v>4</v>
      </c>
      <c r="L29" s="17" t="s">
        <v>109</v>
      </c>
      <c r="M29" s="17">
        <v>41400</v>
      </c>
      <c r="N29" s="17" t="s">
        <v>90</v>
      </c>
      <c r="O29" s="19">
        <v>219904</v>
      </c>
      <c r="P29" s="19">
        <v>51166</v>
      </c>
      <c r="Q29" s="19">
        <v>2720</v>
      </c>
      <c r="R29" s="19">
        <v>40605</v>
      </c>
      <c r="S29" s="19">
        <v>6055</v>
      </c>
      <c r="T29" s="19">
        <v>29550</v>
      </c>
      <c r="U29" s="19">
        <v>220896</v>
      </c>
      <c r="V29" s="19">
        <v>51166</v>
      </c>
      <c r="W29" s="19">
        <v>2554</v>
      </c>
      <c r="X29" s="19">
        <v>40605</v>
      </c>
      <c r="Y29" s="19">
        <v>6055</v>
      </c>
      <c r="Z29" s="19">
        <v>0</v>
      </c>
      <c r="AA29" s="19">
        <v>232091</v>
      </c>
      <c r="AB29" s="19">
        <v>51166</v>
      </c>
      <c r="AC29" s="19">
        <v>2611</v>
      </c>
      <c r="AD29" s="19">
        <v>40605</v>
      </c>
      <c r="AE29" s="19">
        <v>6055</v>
      </c>
      <c r="AF29" s="19">
        <v>0</v>
      </c>
      <c r="AG29" s="19">
        <v>214044</v>
      </c>
      <c r="AH29" s="19">
        <v>51166</v>
      </c>
      <c r="AI29" s="19">
        <v>2950</v>
      </c>
      <c r="AJ29" s="19">
        <v>40605</v>
      </c>
      <c r="AK29" s="19">
        <v>6055</v>
      </c>
      <c r="AL29" s="19">
        <v>29550</v>
      </c>
      <c r="AM29" s="19">
        <v>210634</v>
      </c>
      <c r="AN29" s="19">
        <v>51166</v>
      </c>
      <c r="AO29" s="19">
        <v>2499</v>
      </c>
      <c r="AP29" s="19">
        <v>40605</v>
      </c>
      <c r="AQ29" s="19">
        <v>6055</v>
      </c>
      <c r="AR29" s="19">
        <v>0</v>
      </c>
      <c r="AS29" s="19">
        <v>209300</v>
      </c>
      <c r="AT29" s="19">
        <v>51166</v>
      </c>
      <c r="AU29" s="19">
        <v>2466</v>
      </c>
      <c r="AV29" s="19">
        <v>40605</v>
      </c>
      <c r="AW29" s="19">
        <v>6055</v>
      </c>
      <c r="AX29" s="19">
        <v>0</v>
      </c>
      <c r="AY29" s="19">
        <v>209300</v>
      </c>
      <c r="AZ29" s="19">
        <v>51166</v>
      </c>
      <c r="BA29" s="19">
        <v>2735</v>
      </c>
      <c r="BB29" s="19">
        <v>40994</v>
      </c>
      <c r="BC29" s="19">
        <v>6055</v>
      </c>
      <c r="BD29" s="19">
        <v>29550</v>
      </c>
      <c r="BE29" s="19">
        <v>217010</v>
      </c>
      <c r="BF29" s="19">
        <v>51166</v>
      </c>
      <c r="BG29" s="19">
        <v>2454</v>
      </c>
      <c r="BH29" s="19">
        <v>40994</v>
      </c>
      <c r="BI29" s="19">
        <v>6055</v>
      </c>
      <c r="BJ29" s="19">
        <v>0</v>
      </c>
      <c r="BK29" s="19">
        <v>211946</v>
      </c>
      <c r="BL29" s="19">
        <v>51166</v>
      </c>
      <c r="BM29" s="19">
        <v>2528</v>
      </c>
      <c r="BN29" s="19">
        <v>40994</v>
      </c>
      <c r="BO29" s="19">
        <v>6055</v>
      </c>
      <c r="BP29" s="19">
        <v>0</v>
      </c>
      <c r="BQ29" s="19">
        <v>207700</v>
      </c>
      <c r="BR29" s="19">
        <v>51166</v>
      </c>
      <c r="BS29" s="19">
        <v>2982</v>
      </c>
      <c r="BT29" s="19">
        <v>40594</v>
      </c>
      <c r="BU29" s="19">
        <v>6055</v>
      </c>
      <c r="BV29" s="19">
        <v>29550</v>
      </c>
      <c r="BW29" s="19">
        <v>207700</v>
      </c>
      <c r="BX29" s="19">
        <v>51166</v>
      </c>
      <c r="BY29" s="19">
        <v>2644</v>
      </c>
      <c r="BZ29" s="19">
        <v>40594</v>
      </c>
      <c r="CA29" s="19">
        <v>6055</v>
      </c>
      <c r="CB29" s="19">
        <v>0</v>
      </c>
      <c r="CC29" s="19">
        <v>207700</v>
      </c>
      <c r="CD29" s="19">
        <v>51166</v>
      </c>
      <c r="CE29" s="19">
        <v>2644</v>
      </c>
      <c r="CF29" s="19">
        <v>40594</v>
      </c>
      <c r="CG29" s="19">
        <v>6055</v>
      </c>
      <c r="CH29" s="19">
        <v>0</v>
      </c>
    </row>
    <row r="30" spans="2:86" x14ac:dyDescent="0.15">
      <c r="B30" s="17">
        <v>0</v>
      </c>
      <c r="C30" s="17" t="s">
        <v>62</v>
      </c>
      <c r="D30" s="17">
        <v>1427</v>
      </c>
      <c r="E30" s="17" t="s">
        <v>64</v>
      </c>
      <c r="F30" s="17" t="s">
        <v>111</v>
      </c>
      <c r="G30" s="17">
        <v>22</v>
      </c>
      <c r="H30" s="17" t="s">
        <v>62</v>
      </c>
      <c r="I30" s="17">
        <v>6</v>
      </c>
      <c r="J30" s="17" t="s">
        <v>73</v>
      </c>
      <c r="K30" s="17">
        <v>4</v>
      </c>
      <c r="L30" s="17" t="s">
        <v>109</v>
      </c>
      <c r="M30" s="17">
        <v>41400</v>
      </c>
      <c r="N30" s="17" t="s">
        <v>90</v>
      </c>
      <c r="O30" s="19">
        <v>217633</v>
      </c>
      <c r="P30" s="19">
        <v>54666</v>
      </c>
      <c r="Q30" s="19">
        <v>2877</v>
      </c>
      <c r="R30" s="19">
        <v>41128</v>
      </c>
      <c r="S30" s="19">
        <v>7338</v>
      </c>
      <c r="T30" s="19">
        <v>44270</v>
      </c>
      <c r="U30" s="19">
        <v>210467</v>
      </c>
      <c r="V30" s="19">
        <v>54666</v>
      </c>
      <c r="W30" s="19">
        <v>2566</v>
      </c>
      <c r="X30" s="19">
        <v>41128</v>
      </c>
      <c r="Y30" s="19">
        <v>7338</v>
      </c>
      <c r="Z30" s="19">
        <v>0</v>
      </c>
      <c r="AA30" s="19">
        <v>210211</v>
      </c>
      <c r="AB30" s="19">
        <v>54666</v>
      </c>
      <c r="AC30" s="19">
        <v>2556</v>
      </c>
      <c r="AD30" s="19">
        <v>41128</v>
      </c>
      <c r="AE30" s="19">
        <v>7338</v>
      </c>
      <c r="AF30" s="19">
        <v>0</v>
      </c>
      <c r="AG30" s="19">
        <v>209458</v>
      </c>
      <c r="AH30" s="19">
        <v>54666</v>
      </c>
      <c r="AI30" s="19">
        <v>2915</v>
      </c>
      <c r="AJ30" s="19">
        <v>41128</v>
      </c>
      <c r="AK30" s="19">
        <v>7338</v>
      </c>
      <c r="AL30" s="19">
        <v>44270</v>
      </c>
      <c r="AM30" s="19">
        <v>208667</v>
      </c>
      <c r="AN30" s="19">
        <v>54666</v>
      </c>
      <c r="AO30" s="19">
        <v>2488</v>
      </c>
      <c r="AP30" s="19">
        <v>41128</v>
      </c>
      <c r="AQ30" s="19">
        <v>7338</v>
      </c>
      <c r="AR30" s="19">
        <v>0</v>
      </c>
      <c r="AS30" s="19">
        <v>207400</v>
      </c>
      <c r="AT30" s="19">
        <v>54666</v>
      </c>
      <c r="AU30" s="19">
        <v>2481</v>
      </c>
      <c r="AV30" s="19">
        <v>41128</v>
      </c>
      <c r="AW30" s="19">
        <v>7338</v>
      </c>
      <c r="AX30" s="19">
        <v>0</v>
      </c>
      <c r="AY30" s="19">
        <v>212309</v>
      </c>
      <c r="AZ30" s="19">
        <v>54666</v>
      </c>
      <c r="BA30" s="19">
        <v>2889</v>
      </c>
      <c r="BB30" s="19">
        <v>41517</v>
      </c>
      <c r="BC30" s="19">
        <v>7338</v>
      </c>
      <c r="BD30" s="19">
        <v>44270</v>
      </c>
      <c r="BE30" s="19">
        <v>217219</v>
      </c>
      <c r="BF30" s="19">
        <v>54666</v>
      </c>
      <c r="BG30" s="19">
        <v>2516</v>
      </c>
      <c r="BH30" s="19">
        <v>41517</v>
      </c>
      <c r="BI30" s="19">
        <v>7338</v>
      </c>
      <c r="BJ30" s="19">
        <v>0</v>
      </c>
      <c r="BK30" s="19">
        <v>208811</v>
      </c>
      <c r="BL30" s="19">
        <v>54666</v>
      </c>
      <c r="BM30" s="19">
        <v>2562</v>
      </c>
      <c r="BN30" s="19">
        <v>41517</v>
      </c>
      <c r="BO30" s="19">
        <v>7338</v>
      </c>
      <c r="BP30" s="19">
        <v>0</v>
      </c>
      <c r="BQ30" s="19">
        <v>207438</v>
      </c>
      <c r="BR30" s="19">
        <v>54666</v>
      </c>
      <c r="BS30" s="19">
        <v>3133</v>
      </c>
      <c r="BT30" s="19">
        <v>41117</v>
      </c>
      <c r="BU30" s="19">
        <v>7338</v>
      </c>
      <c r="BV30" s="19">
        <v>44270</v>
      </c>
      <c r="BW30" s="19">
        <v>208222</v>
      </c>
      <c r="BX30" s="19">
        <v>54666</v>
      </c>
      <c r="BY30" s="19">
        <v>2675</v>
      </c>
      <c r="BZ30" s="19">
        <v>41117</v>
      </c>
      <c r="CA30" s="19">
        <v>7338</v>
      </c>
      <c r="CB30" s="19">
        <v>0</v>
      </c>
      <c r="CC30" s="19">
        <v>206027</v>
      </c>
      <c r="CD30" s="19">
        <v>54666</v>
      </c>
      <c r="CE30" s="19">
        <v>2683</v>
      </c>
      <c r="CF30" s="19">
        <v>41117</v>
      </c>
      <c r="CG30" s="19">
        <v>7338</v>
      </c>
      <c r="CH30" s="19">
        <v>0</v>
      </c>
    </row>
    <row r="31" spans="2:86" x14ac:dyDescent="0.15">
      <c r="O31" s="19">
        <f>SUM(O26:O30)</f>
        <v>1372737</v>
      </c>
      <c r="P31" s="19">
        <f t="shared" ref="P31:CA31" si="5">SUM(P26:P30)</f>
        <v>336164</v>
      </c>
      <c r="Q31" s="19">
        <f t="shared" si="5"/>
        <v>17736</v>
      </c>
      <c r="R31" s="19">
        <f t="shared" si="5"/>
        <v>259978</v>
      </c>
      <c r="S31" s="19">
        <f t="shared" si="5"/>
        <v>51129</v>
      </c>
      <c r="T31" s="19">
        <f t="shared" si="5"/>
        <v>214490</v>
      </c>
      <c r="U31" s="19">
        <f t="shared" si="5"/>
        <v>1360363</v>
      </c>
      <c r="V31" s="19">
        <f t="shared" si="5"/>
        <v>336164</v>
      </c>
      <c r="W31" s="19">
        <f t="shared" si="5"/>
        <v>16105</v>
      </c>
      <c r="X31" s="19">
        <f t="shared" si="5"/>
        <v>259978</v>
      </c>
      <c r="Y31" s="19">
        <f t="shared" si="5"/>
        <v>51129</v>
      </c>
      <c r="Z31" s="19">
        <f t="shared" si="5"/>
        <v>0</v>
      </c>
      <c r="AA31" s="19">
        <f t="shared" si="5"/>
        <v>1355202</v>
      </c>
      <c r="AB31" s="19">
        <f t="shared" si="5"/>
        <v>336164</v>
      </c>
      <c r="AC31" s="19">
        <f t="shared" si="5"/>
        <v>16316</v>
      </c>
      <c r="AD31" s="19">
        <f t="shared" si="5"/>
        <v>259978</v>
      </c>
      <c r="AE31" s="19">
        <f t="shared" si="5"/>
        <v>51129</v>
      </c>
      <c r="AF31" s="19">
        <f t="shared" si="5"/>
        <v>0</v>
      </c>
      <c r="AG31" s="19">
        <f t="shared" si="5"/>
        <v>1333402</v>
      </c>
      <c r="AH31" s="19">
        <f t="shared" si="5"/>
        <v>336164</v>
      </c>
      <c r="AI31" s="19">
        <f t="shared" si="5"/>
        <v>17973</v>
      </c>
      <c r="AJ31" s="19">
        <f t="shared" si="5"/>
        <v>259978</v>
      </c>
      <c r="AK31" s="19">
        <f t="shared" si="5"/>
        <v>51129</v>
      </c>
      <c r="AL31" s="19">
        <f t="shared" si="5"/>
        <v>214490</v>
      </c>
      <c r="AM31" s="19">
        <f t="shared" si="5"/>
        <v>1340701</v>
      </c>
      <c r="AN31" s="19">
        <f t="shared" si="5"/>
        <v>336164</v>
      </c>
      <c r="AO31" s="19">
        <f t="shared" si="5"/>
        <v>15731</v>
      </c>
      <c r="AP31" s="19">
        <f t="shared" si="5"/>
        <v>259978</v>
      </c>
      <c r="AQ31" s="19">
        <f t="shared" si="5"/>
        <v>51129</v>
      </c>
      <c r="AR31" s="19">
        <f t="shared" si="5"/>
        <v>0</v>
      </c>
      <c r="AS31" s="19">
        <f t="shared" si="5"/>
        <v>1334300</v>
      </c>
      <c r="AT31" s="19">
        <f t="shared" si="5"/>
        <v>336164</v>
      </c>
      <c r="AU31" s="19">
        <f t="shared" si="5"/>
        <v>15801</v>
      </c>
      <c r="AV31" s="19">
        <f t="shared" si="5"/>
        <v>259978</v>
      </c>
      <c r="AW31" s="19">
        <f t="shared" si="5"/>
        <v>51129</v>
      </c>
      <c r="AX31" s="19">
        <f t="shared" si="5"/>
        <v>0</v>
      </c>
      <c r="AY31" s="19">
        <f t="shared" si="5"/>
        <v>1356309</v>
      </c>
      <c r="AZ31" s="19">
        <f t="shared" si="5"/>
        <v>336164</v>
      </c>
      <c r="BA31" s="19">
        <f t="shared" si="5"/>
        <v>17934</v>
      </c>
      <c r="BB31" s="19">
        <f t="shared" si="5"/>
        <v>262454</v>
      </c>
      <c r="BC31" s="19">
        <f t="shared" si="5"/>
        <v>51129</v>
      </c>
      <c r="BD31" s="19">
        <f t="shared" si="5"/>
        <v>214490</v>
      </c>
      <c r="BE31" s="19">
        <f t="shared" si="5"/>
        <v>1360629</v>
      </c>
      <c r="BF31" s="19">
        <f t="shared" si="5"/>
        <v>336164</v>
      </c>
      <c r="BG31" s="19">
        <f t="shared" si="5"/>
        <v>15950</v>
      </c>
      <c r="BH31" s="19">
        <f t="shared" si="5"/>
        <v>262454</v>
      </c>
      <c r="BI31" s="19">
        <f t="shared" si="5"/>
        <v>51129</v>
      </c>
      <c r="BJ31" s="19">
        <f t="shared" si="5"/>
        <v>0</v>
      </c>
      <c r="BK31" s="19">
        <f t="shared" si="5"/>
        <v>1358057</v>
      </c>
      <c r="BL31" s="19">
        <f t="shared" si="5"/>
        <v>336164</v>
      </c>
      <c r="BM31" s="19">
        <f t="shared" si="5"/>
        <v>15991</v>
      </c>
      <c r="BN31" s="19">
        <f t="shared" si="5"/>
        <v>262454</v>
      </c>
      <c r="BO31" s="19">
        <f t="shared" si="5"/>
        <v>51129</v>
      </c>
      <c r="BP31" s="19">
        <f t="shared" si="5"/>
        <v>0</v>
      </c>
      <c r="BQ31" s="19">
        <f t="shared" si="5"/>
        <v>1336238</v>
      </c>
      <c r="BR31" s="19">
        <f t="shared" si="5"/>
        <v>336164</v>
      </c>
      <c r="BS31" s="19">
        <f t="shared" si="5"/>
        <v>19268</v>
      </c>
      <c r="BT31" s="19">
        <f t="shared" si="5"/>
        <v>259908</v>
      </c>
      <c r="BU31" s="19">
        <f t="shared" si="5"/>
        <v>51129</v>
      </c>
      <c r="BV31" s="19">
        <f t="shared" si="5"/>
        <v>214490</v>
      </c>
      <c r="BW31" s="19">
        <f t="shared" si="5"/>
        <v>1339822</v>
      </c>
      <c r="BX31" s="19">
        <f t="shared" si="5"/>
        <v>336164</v>
      </c>
      <c r="BY31" s="19">
        <f t="shared" si="5"/>
        <v>17082</v>
      </c>
      <c r="BZ31" s="19">
        <f t="shared" si="5"/>
        <v>259908</v>
      </c>
      <c r="CA31" s="19">
        <f t="shared" si="5"/>
        <v>51129</v>
      </c>
      <c r="CB31" s="19">
        <f t="shared" ref="CB31:CH31" si="6">SUM(CB26:CB30)</f>
        <v>0</v>
      </c>
      <c r="CC31" s="19">
        <f t="shared" si="6"/>
        <v>1329727</v>
      </c>
      <c r="CD31" s="19">
        <f t="shared" si="6"/>
        <v>336164</v>
      </c>
      <c r="CE31" s="19">
        <f t="shared" si="6"/>
        <v>17120</v>
      </c>
      <c r="CF31" s="19">
        <f t="shared" si="6"/>
        <v>259908</v>
      </c>
      <c r="CG31" s="19">
        <f t="shared" si="6"/>
        <v>51129</v>
      </c>
      <c r="CH31" s="19">
        <f t="shared" si="6"/>
        <v>0</v>
      </c>
    </row>
    <row r="32" spans="2:86" x14ac:dyDescent="0.15">
      <c r="B32" s="17">
        <v>0</v>
      </c>
      <c r="C32" s="17" t="s">
        <v>62</v>
      </c>
      <c r="D32" s="17">
        <v>1313</v>
      </c>
      <c r="E32" s="17" t="s">
        <v>76</v>
      </c>
      <c r="F32" s="17" t="s">
        <v>77</v>
      </c>
      <c r="G32" s="17">
        <v>14</v>
      </c>
      <c r="H32" s="17" t="s">
        <v>151</v>
      </c>
      <c r="I32" s="17">
        <v>6</v>
      </c>
      <c r="J32" s="17" t="s">
        <v>73</v>
      </c>
      <c r="K32" s="17">
        <v>10</v>
      </c>
      <c r="L32" s="17" t="s">
        <v>116</v>
      </c>
      <c r="M32" s="17">
        <v>41400</v>
      </c>
      <c r="N32" s="17" t="s">
        <v>90</v>
      </c>
      <c r="O32" s="19">
        <v>198250</v>
      </c>
      <c r="P32" s="19">
        <v>56250</v>
      </c>
      <c r="Q32" s="19">
        <v>2824</v>
      </c>
      <c r="R32" s="19">
        <v>39120</v>
      </c>
      <c r="S32" s="19">
        <v>9377</v>
      </c>
      <c r="T32" s="19">
        <v>44745</v>
      </c>
      <c r="U32" s="19">
        <v>198250</v>
      </c>
      <c r="V32" s="19">
        <v>56250</v>
      </c>
      <c r="W32" s="19">
        <v>2399</v>
      </c>
      <c r="X32" s="19">
        <v>39120</v>
      </c>
      <c r="Y32" s="19">
        <v>9377</v>
      </c>
      <c r="Z32" s="19">
        <v>0</v>
      </c>
      <c r="AA32" s="19">
        <v>198250</v>
      </c>
      <c r="AB32" s="19">
        <v>56250</v>
      </c>
      <c r="AC32" s="19">
        <v>2399</v>
      </c>
      <c r="AD32" s="19">
        <v>39120</v>
      </c>
      <c r="AE32" s="19">
        <v>9377</v>
      </c>
      <c r="AF32" s="19">
        <v>0</v>
      </c>
      <c r="AG32" s="19">
        <v>198250</v>
      </c>
      <c r="AH32" s="19">
        <v>56250</v>
      </c>
      <c r="AI32" s="19">
        <v>2824</v>
      </c>
      <c r="AJ32" s="19">
        <v>39120</v>
      </c>
      <c r="AK32" s="19">
        <v>9377</v>
      </c>
      <c r="AL32" s="19">
        <v>44745</v>
      </c>
      <c r="AM32" s="19">
        <v>198250</v>
      </c>
      <c r="AN32" s="19">
        <v>56250</v>
      </c>
      <c r="AO32" s="19">
        <v>2399</v>
      </c>
      <c r="AP32" s="19">
        <v>39120</v>
      </c>
      <c r="AQ32" s="19">
        <v>9377</v>
      </c>
      <c r="AR32" s="19">
        <v>0</v>
      </c>
      <c r="AS32" s="19">
        <v>198250</v>
      </c>
      <c r="AT32" s="19">
        <v>56250</v>
      </c>
      <c r="AU32" s="19">
        <v>2399</v>
      </c>
      <c r="AV32" s="19">
        <v>39120</v>
      </c>
      <c r="AW32" s="19">
        <v>9377</v>
      </c>
      <c r="AX32" s="19">
        <v>0</v>
      </c>
      <c r="AY32" s="19">
        <v>198250</v>
      </c>
      <c r="AZ32" s="19">
        <v>56250</v>
      </c>
      <c r="BA32" s="19">
        <v>2824</v>
      </c>
      <c r="BB32" s="19">
        <v>39483</v>
      </c>
      <c r="BC32" s="19">
        <v>9377</v>
      </c>
      <c r="BD32" s="19">
        <v>44745</v>
      </c>
      <c r="BE32" s="19">
        <v>198250</v>
      </c>
      <c r="BF32" s="19">
        <v>56250</v>
      </c>
      <c r="BG32" s="19">
        <v>2399</v>
      </c>
      <c r="BH32" s="19">
        <v>39483</v>
      </c>
      <c r="BI32" s="19">
        <v>9377</v>
      </c>
      <c r="BJ32" s="19">
        <v>0</v>
      </c>
      <c r="BK32" s="19">
        <v>198250</v>
      </c>
      <c r="BL32" s="19">
        <v>56250</v>
      </c>
      <c r="BM32" s="19">
        <v>2399</v>
      </c>
      <c r="BN32" s="19">
        <v>39483</v>
      </c>
      <c r="BO32" s="19">
        <v>9377</v>
      </c>
      <c r="BP32" s="19">
        <v>0</v>
      </c>
      <c r="BQ32" s="19">
        <v>198250</v>
      </c>
      <c r="BR32" s="19">
        <v>56250</v>
      </c>
      <c r="BS32" s="19">
        <v>3065</v>
      </c>
      <c r="BT32" s="19">
        <v>39109</v>
      </c>
      <c r="BU32" s="19">
        <v>9377</v>
      </c>
      <c r="BV32" s="19">
        <v>44745</v>
      </c>
      <c r="BW32" s="19">
        <v>198250</v>
      </c>
      <c r="BX32" s="19">
        <v>56250</v>
      </c>
      <c r="BY32" s="19">
        <v>2596</v>
      </c>
      <c r="BZ32" s="19">
        <v>39109</v>
      </c>
      <c r="CA32" s="19">
        <v>9377</v>
      </c>
      <c r="CB32" s="19">
        <v>0</v>
      </c>
      <c r="CC32" s="19">
        <v>198250</v>
      </c>
      <c r="CD32" s="19">
        <v>56250</v>
      </c>
      <c r="CE32" s="19">
        <v>2596</v>
      </c>
      <c r="CF32" s="19">
        <v>39109</v>
      </c>
      <c r="CG32" s="19">
        <v>9377</v>
      </c>
      <c r="CH32" s="19">
        <v>0</v>
      </c>
    </row>
    <row r="33" spans="2:86" x14ac:dyDescent="0.15">
      <c r="O33" s="19">
        <f>SUM(O32)</f>
        <v>198250</v>
      </c>
      <c r="P33" s="19">
        <f t="shared" ref="P33:CA33" si="7">SUM(P32)</f>
        <v>56250</v>
      </c>
      <c r="Q33" s="19">
        <f t="shared" si="7"/>
        <v>2824</v>
      </c>
      <c r="R33" s="19">
        <f t="shared" si="7"/>
        <v>39120</v>
      </c>
      <c r="S33" s="19">
        <f t="shared" si="7"/>
        <v>9377</v>
      </c>
      <c r="T33" s="19">
        <f t="shared" si="7"/>
        <v>44745</v>
      </c>
      <c r="U33" s="19">
        <f t="shared" si="7"/>
        <v>198250</v>
      </c>
      <c r="V33" s="19">
        <f t="shared" si="7"/>
        <v>56250</v>
      </c>
      <c r="W33" s="19">
        <f t="shared" si="7"/>
        <v>2399</v>
      </c>
      <c r="X33" s="19">
        <f t="shared" si="7"/>
        <v>39120</v>
      </c>
      <c r="Y33" s="19">
        <f t="shared" si="7"/>
        <v>9377</v>
      </c>
      <c r="Z33" s="19">
        <f t="shared" si="7"/>
        <v>0</v>
      </c>
      <c r="AA33" s="19">
        <f t="shared" si="7"/>
        <v>198250</v>
      </c>
      <c r="AB33" s="19">
        <f t="shared" si="7"/>
        <v>56250</v>
      </c>
      <c r="AC33" s="19">
        <f t="shared" si="7"/>
        <v>2399</v>
      </c>
      <c r="AD33" s="19">
        <f t="shared" si="7"/>
        <v>39120</v>
      </c>
      <c r="AE33" s="19">
        <f t="shared" si="7"/>
        <v>9377</v>
      </c>
      <c r="AF33" s="19">
        <f t="shared" si="7"/>
        <v>0</v>
      </c>
      <c r="AG33" s="19">
        <f t="shared" si="7"/>
        <v>198250</v>
      </c>
      <c r="AH33" s="19">
        <f t="shared" si="7"/>
        <v>56250</v>
      </c>
      <c r="AI33" s="19">
        <f t="shared" si="7"/>
        <v>2824</v>
      </c>
      <c r="AJ33" s="19">
        <f t="shared" si="7"/>
        <v>39120</v>
      </c>
      <c r="AK33" s="19">
        <f t="shared" si="7"/>
        <v>9377</v>
      </c>
      <c r="AL33" s="19">
        <f t="shared" si="7"/>
        <v>44745</v>
      </c>
      <c r="AM33" s="19">
        <f t="shared" si="7"/>
        <v>198250</v>
      </c>
      <c r="AN33" s="19">
        <f t="shared" si="7"/>
        <v>56250</v>
      </c>
      <c r="AO33" s="19">
        <f t="shared" si="7"/>
        <v>2399</v>
      </c>
      <c r="AP33" s="19">
        <f t="shared" si="7"/>
        <v>39120</v>
      </c>
      <c r="AQ33" s="19">
        <f t="shared" si="7"/>
        <v>9377</v>
      </c>
      <c r="AR33" s="19">
        <f t="shared" si="7"/>
        <v>0</v>
      </c>
      <c r="AS33" s="19">
        <f t="shared" si="7"/>
        <v>198250</v>
      </c>
      <c r="AT33" s="19">
        <f t="shared" si="7"/>
        <v>56250</v>
      </c>
      <c r="AU33" s="19">
        <f t="shared" si="7"/>
        <v>2399</v>
      </c>
      <c r="AV33" s="19">
        <f t="shared" si="7"/>
        <v>39120</v>
      </c>
      <c r="AW33" s="19">
        <f t="shared" si="7"/>
        <v>9377</v>
      </c>
      <c r="AX33" s="19">
        <f t="shared" si="7"/>
        <v>0</v>
      </c>
      <c r="AY33" s="19">
        <f t="shared" si="7"/>
        <v>198250</v>
      </c>
      <c r="AZ33" s="19">
        <f t="shared" si="7"/>
        <v>56250</v>
      </c>
      <c r="BA33" s="19">
        <f t="shared" si="7"/>
        <v>2824</v>
      </c>
      <c r="BB33" s="19">
        <f t="shared" si="7"/>
        <v>39483</v>
      </c>
      <c r="BC33" s="19">
        <f t="shared" si="7"/>
        <v>9377</v>
      </c>
      <c r="BD33" s="19">
        <f t="shared" si="7"/>
        <v>44745</v>
      </c>
      <c r="BE33" s="19">
        <f t="shared" si="7"/>
        <v>198250</v>
      </c>
      <c r="BF33" s="19">
        <f t="shared" si="7"/>
        <v>56250</v>
      </c>
      <c r="BG33" s="19">
        <f t="shared" si="7"/>
        <v>2399</v>
      </c>
      <c r="BH33" s="19">
        <f t="shared" si="7"/>
        <v>39483</v>
      </c>
      <c r="BI33" s="19">
        <f t="shared" si="7"/>
        <v>9377</v>
      </c>
      <c r="BJ33" s="19">
        <f t="shared" si="7"/>
        <v>0</v>
      </c>
      <c r="BK33" s="19">
        <f t="shared" si="7"/>
        <v>198250</v>
      </c>
      <c r="BL33" s="19">
        <f t="shared" si="7"/>
        <v>56250</v>
      </c>
      <c r="BM33" s="19">
        <f t="shared" si="7"/>
        <v>2399</v>
      </c>
      <c r="BN33" s="19">
        <f t="shared" si="7"/>
        <v>39483</v>
      </c>
      <c r="BO33" s="19">
        <f t="shared" si="7"/>
        <v>9377</v>
      </c>
      <c r="BP33" s="19">
        <f t="shared" si="7"/>
        <v>0</v>
      </c>
      <c r="BQ33" s="19">
        <f t="shared" si="7"/>
        <v>198250</v>
      </c>
      <c r="BR33" s="19">
        <f t="shared" si="7"/>
        <v>56250</v>
      </c>
      <c r="BS33" s="19">
        <f t="shared" si="7"/>
        <v>3065</v>
      </c>
      <c r="BT33" s="19">
        <f t="shared" si="7"/>
        <v>39109</v>
      </c>
      <c r="BU33" s="19">
        <f t="shared" si="7"/>
        <v>9377</v>
      </c>
      <c r="BV33" s="19">
        <f t="shared" si="7"/>
        <v>44745</v>
      </c>
      <c r="BW33" s="19">
        <f t="shared" si="7"/>
        <v>198250</v>
      </c>
      <c r="BX33" s="19">
        <f t="shared" si="7"/>
        <v>56250</v>
      </c>
      <c r="BY33" s="19">
        <f t="shared" si="7"/>
        <v>2596</v>
      </c>
      <c r="BZ33" s="19">
        <f t="shared" si="7"/>
        <v>39109</v>
      </c>
      <c r="CA33" s="19">
        <f t="shared" si="7"/>
        <v>9377</v>
      </c>
      <c r="CB33" s="19">
        <f t="shared" ref="CB33:CH33" si="8">SUM(CB32)</f>
        <v>0</v>
      </c>
      <c r="CC33" s="19">
        <f t="shared" si="8"/>
        <v>198250</v>
      </c>
      <c r="CD33" s="19">
        <f t="shared" si="8"/>
        <v>56250</v>
      </c>
      <c r="CE33" s="19">
        <f t="shared" si="8"/>
        <v>2596</v>
      </c>
      <c r="CF33" s="19">
        <f t="shared" si="8"/>
        <v>39109</v>
      </c>
      <c r="CG33" s="19">
        <f t="shared" si="8"/>
        <v>9377</v>
      </c>
      <c r="CH33" s="19">
        <f t="shared" si="8"/>
        <v>0</v>
      </c>
    </row>
    <row r="34" spans="2:86" x14ac:dyDescent="0.15">
      <c r="B34" s="17">
        <v>0</v>
      </c>
      <c r="C34" s="17" t="s">
        <v>62</v>
      </c>
      <c r="D34" s="17">
        <v>1104</v>
      </c>
      <c r="E34" s="17" t="s">
        <v>126</v>
      </c>
      <c r="F34" s="17" t="s">
        <v>127</v>
      </c>
      <c r="G34" s="17">
        <v>14</v>
      </c>
      <c r="H34" s="17" t="s">
        <v>151</v>
      </c>
      <c r="I34" s="17">
        <v>6</v>
      </c>
      <c r="J34" s="17" t="s">
        <v>73</v>
      </c>
      <c r="K34" s="17">
        <v>6</v>
      </c>
      <c r="L34" s="17" t="s">
        <v>119</v>
      </c>
      <c r="M34" s="17">
        <v>41400</v>
      </c>
      <c r="N34" s="17" t="s">
        <v>90</v>
      </c>
      <c r="O34" s="19">
        <v>388600</v>
      </c>
      <c r="P34" s="19">
        <v>111500</v>
      </c>
      <c r="Q34" s="19">
        <v>4948</v>
      </c>
      <c r="R34" s="19">
        <v>73594</v>
      </c>
      <c r="S34" s="19">
        <v>19418</v>
      </c>
      <c r="T34" s="19">
        <v>24620</v>
      </c>
      <c r="U34" s="19">
        <v>388600</v>
      </c>
      <c r="V34" s="19">
        <v>111500</v>
      </c>
      <c r="W34" s="19">
        <v>4714</v>
      </c>
      <c r="X34" s="19">
        <v>73594</v>
      </c>
      <c r="Y34" s="19">
        <v>19418</v>
      </c>
      <c r="Z34" s="19">
        <v>0</v>
      </c>
      <c r="AA34" s="19">
        <v>388600</v>
      </c>
      <c r="AB34" s="19">
        <v>111500</v>
      </c>
      <c r="AC34" s="19">
        <v>4714</v>
      </c>
      <c r="AD34" s="19">
        <v>73594</v>
      </c>
      <c r="AE34" s="19">
        <v>19418</v>
      </c>
      <c r="AF34" s="19">
        <v>0</v>
      </c>
      <c r="AG34" s="19">
        <v>388600</v>
      </c>
      <c r="AH34" s="19">
        <v>111500</v>
      </c>
      <c r="AI34" s="19">
        <v>4595</v>
      </c>
      <c r="AJ34" s="19">
        <v>73594</v>
      </c>
      <c r="AK34" s="19">
        <v>19418</v>
      </c>
      <c r="AL34" s="19">
        <v>-12540</v>
      </c>
      <c r="AM34" s="19">
        <v>388600</v>
      </c>
      <c r="AN34" s="19">
        <v>111500</v>
      </c>
      <c r="AO34" s="19">
        <v>4714</v>
      </c>
      <c r="AP34" s="19">
        <v>73594</v>
      </c>
      <c r="AQ34" s="19">
        <v>19418</v>
      </c>
      <c r="AR34" s="19">
        <v>0</v>
      </c>
      <c r="AS34" s="19">
        <v>388600</v>
      </c>
      <c r="AT34" s="19">
        <v>111500</v>
      </c>
      <c r="AU34" s="19">
        <v>4714</v>
      </c>
      <c r="AV34" s="19">
        <v>73594</v>
      </c>
      <c r="AW34" s="19">
        <v>19418</v>
      </c>
      <c r="AX34" s="19">
        <v>0</v>
      </c>
      <c r="AY34" s="19">
        <v>388600</v>
      </c>
      <c r="AZ34" s="19">
        <v>111500</v>
      </c>
      <c r="BA34" s="19">
        <v>4714</v>
      </c>
      <c r="BB34" s="19">
        <v>74267</v>
      </c>
      <c r="BC34" s="19">
        <v>19418</v>
      </c>
      <c r="BD34" s="19">
        <v>0</v>
      </c>
      <c r="BE34" s="19">
        <v>388600</v>
      </c>
      <c r="BF34" s="19">
        <v>111500</v>
      </c>
      <c r="BG34" s="19">
        <v>4714</v>
      </c>
      <c r="BH34" s="19">
        <v>74267</v>
      </c>
      <c r="BI34" s="19">
        <v>19418</v>
      </c>
      <c r="BJ34" s="19">
        <v>0</v>
      </c>
      <c r="BK34" s="19">
        <v>388600</v>
      </c>
      <c r="BL34" s="19">
        <v>111500</v>
      </c>
      <c r="BM34" s="19">
        <v>4714</v>
      </c>
      <c r="BN34" s="19">
        <v>74267</v>
      </c>
      <c r="BO34" s="19">
        <v>19418</v>
      </c>
      <c r="BP34" s="19">
        <v>0</v>
      </c>
      <c r="BQ34" s="19">
        <v>388600</v>
      </c>
      <c r="BR34" s="19">
        <v>111500</v>
      </c>
      <c r="BS34" s="19">
        <v>5358</v>
      </c>
      <c r="BT34" s="19">
        <v>73575</v>
      </c>
      <c r="BU34" s="19">
        <v>19418</v>
      </c>
      <c r="BV34" s="19">
        <v>24620</v>
      </c>
      <c r="BW34" s="19">
        <v>388600</v>
      </c>
      <c r="BX34" s="19">
        <v>111500</v>
      </c>
      <c r="BY34" s="19">
        <v>5099</v>
      </c>
      <c r="BZ34" s="19">
        <v>73575</v>
      </c>
      <c r="CA34" s="19">
        <v>19418</v>
      </c>
      <c r="CB34" s="19">
        <v>0</v>
      </c>
      <c r="CC34" s="19">
        <v>388600</v>
      </c>
      <c r="CD34" s="19">
        <v>111500</v>
      </c>
      <c r="CE34" s="19">
        <v>5099</v>
      </c>
      <c r="CF34" s="19">
        <v>73575</v>
      </c>
      <c r="CG34" s="19">
        <v>19418</v>
      </c>
      <c r="CH34" s="19">
        <v>0</v>
      </c>
    </row>
    <row r="35" spans="2:86" x14ac:dyDescent="0.15">
      <c r="B35" s="17">
        <v>0</v>
      </c>
      <c r="C35" s="17" t="s">
        <v>62</v>
      </c>
      <c r="D35" s="17">
        <v>1369</v>
      </c>
      <c r="E35" s="17" t="s">
        <v>117</v>
      </c>
      <c r="F35" s="17" t="s">
        <v>118</v>
      </c>
      <c r="G35" s="17">
        <v>14</v>
      </c>
      <c r="H35" s="17" t="s">
        <v>151</v>
      </c>
      <c r="I35" s="17">
        <v>6</v>
      </c>
      <c r="J35" s="17" t="s">
        <v>73</v>
      </c>
      <c r="K35" s="17">
        <v>6</v>
      </c>
      <c r="L35" s="17" t="s">
        <v>119</v>
      </c>
      <c r="M35" s="17">
        <v>41400</v>
      </c>
      <c r="N35" s="17" t="s">
        <v>90</v>
      </c>
      <c r="O35" s="19">
        <v>324494</v>
      </c>
      <c r="P35" s="19">
        <v>98333</v>
      </c>
      <c r="Q35" s="19">
        <v>4479</v>
      </c>
      <c r="R35" s="19">
        <v>65634</v>
      </c>
      <c r="S35" s="19">
        <v>22360</v>
      </c>
      <c r="T35" s="19">
        <v>49180</v>
      </c>
      <c r="U35" s="19">
        <v>326503</v>
      </c>
      <c r="V35" s="19">
        <v>98333</v>
      </c>
      <c r="W35" s="19">
        <v>3984</v>
      </c>
      <c r="X35" s="19">
        <v>65634</v>
      </c>
      <c r="Y35" s="19">
        <v>22360</v>
      </c>
      <c r="Z35" s="19">
        <v>0</v>
      </c>
      <c r="AA35" s="19">
        <v>327906</v>
      </c>
      <c r="AB35" s="19">
        <v>98333</v>
      </c>
      <c r="AC35" s="19">
        <v>4114</v>
      </c>
      <c r="AD35" s="19">
        <v>65634</v>
      </c>
      <c r="AE35" s="19">
        <v>22360</v>
      </c>
      <c r="AF35" s="19">
        <v>0</v>
      </c>
      <c r="AG35" s="19">
        <v>327900</v>
      </c>
      <c r="AH35" s="19">
        <v>98333</v>
      </c>
      <c r="AI35" s="19">
        <v>4484</v>
      </c>
      <c r="AJ35" s="19">
        <v>65634</v>
      </c>
      <c r="AK35" s="19">
        <v>22360</v>
      </c>
      <c r="AL35" s="19">
        <v>49180</v>
      </c>
      <c r="AM35" s="19">
        <v>327900</v>
      </c>
      <c r="AN35" s="19">
        <v>98333</v>
      </c>
      <c r="AO35" s="19">
        <v>4016</v>
      </c>
      <c r="AP35" s="19">
        <v>65634</v>
      </c>
      <c r="AQ35" s="19">
        <v>22360</v>
      </c>
      <c r="AR35" s="19">
        <v>0</v>
      </c>
      <c r="AS35" s="19">
        <v>327900</v>
      </c>
      <c r="AT35" s="19">
        <v>98333</v>
      </c>
      <c r="AU35" s="19">
        <v>4016</v>
      </c>
      <c r="AV35" s="19">
        <v>65634</v>
      </c>
      <c r="AW35" s="19">
        <v>22360</v>
      </c>
      <c r="AX35" s="19">
        <v>0</v>
      </c>
      <c r="AY35" s="19">
        <v>351900</v>
      </c>
      <c r="AZ35" s="19">
        <v>98333</v>
      </c>
      <c r="BA35" s="19">
        <v>4712</v>
      </c>
      <c r="BB35" s="19">
        <v>66235</v>
      </c>
      <c r="BC35" s="19">
        <v>22360</v>
      </c>
      <c r="BD35" s="19">
        <v>49180</v>
      </c>
      <c r="BE35" s="19">
        <v>352422</v>
      </c>
      <c r="BF35" s="19">
        <v>98333</v>
      </c>
      <c r="BG35" s="19">
        <v>4244</v>
      </c>
      <c r="BH35" s="19">
        <v>66235</v>
      </c>
      <c r="BI35" s="19">
        <v>22360</v>
      </c>
      <c r="BJ35" s="19">
        <v>0</v>
      </c>
      <c r="BK35" s="19">
        <v>351900</v>
      </c>
      <c r="BL35" s="19">
        <v>98333</v>
      </c>
      <c r="BM35" s="19">
        <v>4249</v>
      </c>
      <c r="BN35" s="19">
        <v>66235</v>
      </c>
      <c r="BO35" s="19">
        <v>22360</v>
      </c>
      <c r="BP35" s="19">
        <v>0</v>
      </c>
      <c r="BQ35" s="19">
        <v>324247</v>
      </c>
      <c r="BR35" s="19">
        <v>98333</v>
      </c>
      <c r="BS35" s="19">
        <v>4816</v>
      </c>
      <c r="BT35" s="19">
        <v>65617</v>
      </c>
      <c r="BU35" s="19">
        <v>22360</v>
      </c>
      <c r="BV35" s="19">
        <v>49180</v>
      </c>
      <c r="BW35" s="19">
        <v>324989</v>
      </c>
      <c r="BX35" s="19">
        <v>98333</v>
      </c>
      <c r="BY35" s="19">
        <v>4302</v>
      </c>
      <c r="BZ35" s="19">
        <v>65617</v>
      </c>
      <c r="CA35" s="19">
        <v>22360</v>
      </c>
      <c r="CB35" s="19">
        <v>0</v>
      </c>
      <c r="CC35" s="19">
        <v>327462</v>
      </c>
      <c r="CD35" s="19">
        <v>98333</v>
      </c>
      <c r="CE35" s="19">
        <v>4310</v>
      </c>
      <c r="CF35" s="19">
        <v>65617</v>
      </c>
      <c r="CG35" s="19">
        <v>22360</v>
      </c>
      <c r="CH35" s="19">
        <v>0</v>
      </c>
    </row>
    <row r="36" spans="2:86" x14ac:dyDescent="0.15">
      <c r="B36" s="17">
        <v>0</v>
      </c>
      <c r="C36" s="17" t="s">
        <v>62</v>
      </c>
      <c r="D36" s="17">
        <v>1339</v>
      </c>
      <c r="E36" s="17" t="s">
        <v>84</v>
      </c>
      <c r="F36" s="17" t="s">
        <v>85</v>
      </c>
      <c r="G36" s="17">
        <v>22</v>
      </c>
      <c r="H36" s="17" t="s">
        <v>62</v>
      </c>
      <c r="I36" s="17">
        <v>6</v>
      </c>
      <c r="J36" s="17" t="s">
        <v>73</v>
      </c>
      <c r="K36" s="17">
        <v>6</v>
      </c>
      <c r="L36" s="17" t="s">
        <v>119</v>
      </c>
      <c r="M36" s="17">
        <v>41400</v>
      </c>
      <c r="N36" s="17" t="s">
        <v>90</v>
      </c>
      <c r="O36" s="19">
        <v>149650</v>
      </c>
      <c r="P36" s="19">
        <v>33833</v>
      </c>
      <c r="Q36" s="19">
        <v>1936</v>
      </c>
      <c r="R36" s="19">
        <v>27549</v>
      </c>
      <c r="S36" s="19">
        <v>8251</v>
      </c>
      <c r="T36" s="19">
        <v>17240</v>
      </c>
      <c r="U36" s="19">
        <v>160050</v>
      </c>
      <c r="V36" s="19">
        <v>33833</v>
      </c>
      <c r="W36" s="19">
        <v>1732</v>
      </c>
      <c r="X36" s="19">
        <v>27549</v>
      </c>
      <c r="Y36" s="19">
        <v>8251</v>
      </c>
      <c r="Z36" s="19">
        <v>0</v>
      </c>
      <c r="AA36" s="19">
        <v>159600</v>
      </c>
      <c r="AB36" s="19">
        <v>33833</v>
      </c>
      <c r="AC36" s="19">
        <v>1863</v>
      </c>
      <c r="AD36" s="19">
        <v>27549</v>
      </c>
      <c r="AE36" s="19">
        <v>8251</v>
      </c>
      <c r="AF36" s="19">
        <v>0</v>
      </c>
      <c r="AG36" s="19">
        <v>157050</v>
      </c>
      <c r="AH36" s="19">
        <v>33833</v>
      </c>
      <c r="AI36" s="19">
        <v>1991</v>
      </c>
      <c r="AJ36" s="19">
        <v>27549</v>
      </c>
      <c r="AK36" s="19">
        <v>8251</v>
      </c>
      <c r="AL36" s="19">
        <v>17240</v>
      </c>
      <c r="AM36" s="19">
        <v>151100</v>
      </c>
      <c r="AN36" s="19">
        <v>33833</v>
      </c>
      <c r="AO36" s="19">
        <v>1803</v>
      </c>
      <c r="AP36" s="19">
        <v>27549</v>
      </c>
      <c r="AQ36" s="19">
        <v>8251</v>
      </c>
      <c r="AR36" s="19">
        <v>0</v>
      </c>
      <c r="AS36" s="19">
        <v>154950</v>
      </c>
      <c r="AT36" s="19">
        <v>33833</v>
      </c>
      <c r="AU36" s="19">
        <v>1746</v>
      </c>
      <c r="AV36" s="19">
        <v>27549</v>
      </c>
      <c r="AW36" s="19">
        <v>8251</v>
      </c>
      <c r="AX36" s="19">
        <v>0</v>
      </c>
      <c r="AY36" s="19">
        <v>163300</v>
      </c>
      <c r="AZ36" s="19">
        <v>33833</v>
      </c>
      <c r="BA36" s="19">
        <v>1946</v>
      </c>
      <c r="BB36" s="19">
        <v>29309</v>
      </c>
      <c r="BC36" s="19">
        <v>8251</v>
      </c>
      <c r="BD36" s="19">
        <v>17240</v>
      </c>
      <c r="BE36" s="19">
        <v>157050</v>
      </c>
      <c r="BF36" s="19">
        <v>33833</v>
      </c>
      <c r="BG36" s="19">
        <v>1862</v>
      </c>
      <c r="BH36" s="19">
        <v>29309</v>
      </c>
      <c r="BI36" s="19">
        <v>8251</v>
      </c>
      <c r="BJ36" s="19">
        <v>0</v>
      </c>
      <c r="BK36" s="19">
        <v>156900</v>
      </c>
      <c r="BL36" s="19">
        <v>33833</v>
      </c>
      <c r="BM36" s="19">
        <v>1803</v>
      </c>
      <c r="BN36" s="19">
        <v>29309</v>
      </c>
      <c r="BO36" s="19">
        <v>8251</v>
      </c>
      <c r="BP36" s="19">
        <v>0</v>
      </c>
      <c r="BQ36" s="19">
        <v>145800</v>
      </c>
      <c r="BR36" s="19">
        <v>33833</v>
      </c>
      <c r="BS36" s="19">
        <v>2125</v>
      </c>
      <c r="BT36" s="19">
        <v>27541</v>
      </c>
      <c r="BU36" s="19">
        <v>8251</v>
      </c>
      <c r="BV36" s="19">
        <v>17240</v>
      </c>
      <c r="BW36" s="19">
        <v>154450</v>
      </c>
      <c r="BX36" s="19">
        <v>33833</v>
      </c>
      <c r="BY36" s="19">
        <v>1840</v>
      </c>
      <c r="BZ36" s="19">
        <v>27541</v>
      </c>
      <c r="CA36" s="19">
        <v>8251</v>
      </c>
      <c r="CB36" s="19">
        <v>0</v>
      </c>
      <c r="CC36" s="19">
        <v>153800</v>
      </c>
      <c r="CD36" s="19">
        <v>33833</v>
      </c>
      <c r="CE36" s="19">
        <v>1931</v>
      </c>
      <c r="CF36" s="19">
        <v>27541</v>
      </c>
      <c r="CG36" s="19">
        <v>8251</v>
      </c>
      <c r="CH36" s="19">
        <v>0</v>
      </c>
    </row>
    <row r="37" spans="2:86" x14ac:dyDescent="0.15">
      <c r="B37" s="17">
        <v>0</v>
      </c>
      <c r="C37" s="17" t="s">
        <v>62</v>
      </c>
      <c r="D37" s="17">
        <v>1443</v>
      </c>
      <c r="E37" s="17" t="s">
        <v>120</v>
      </c>
      <c r="F37" s="17" t="s">
        <v>121</v>
      </c>
      <c r="G37" s="17">
        <v>22</v>
      </c>
      <c r="H37" s="17" t="s">
        <v>62</v>
      </c>
      <c r="I37" s="17">
        <v>6</v>
      </c>
      <c r="J37" s="17" t="s">
        <v>73</v>
      </c>
      <c r="K37" s="17">
        <v>6</v>
      </c>
      <c r="L37" s="17" t="s">
        <v>119</v>
      </c>
      <c r="M37" s="17">
        <v>41400</v>
      </c>
      <c r="N37" s="17" t="s">
        <v>90</v>
      </c>
      <c r="O37" s="19">
        <v>288500</v>
      </c>
      <c r="P37" s="19">
        <v>59833</v>
      </c>
      <c r="Q37" s="19">
        <v>3628</v>
      </c>
      <c r="R37" s="19">
        <v>56840</v>
      </c>
      <c r="S37" s="19">
        <v>9576</v>
      </c>
      <c r="T37" s="19">
        <v>39340</v>
      </c>
      <c r="U37" s="19">
        <v>283400</v>
      </c>
      <c r="V37" s="19">
        <v>59833</v>
      </c>
      <c r="W37" s="19">
        <v>3290</v>
      </c>
      <c r="X37" s="19">
        <v>56840</v>
      </c>
      <c r="Y37" s="19">
        <v>9576</v>
      </c>
      <c r="Z37" s="19">
        <v>0</v>
      </c>
      <c r="AA37" s="19">
        <v>278500</v>
      </c>
      <c r="AB37" s="19">
        <v>59833</v>
      </c>
      <c r="AC37" s="19">
        <v>3298</v>
      </c>
      <c r="AD37" s="19">
        <v>56840</v>
      </c>
      <c r="AE37" s="19">
        <v>9576</v>
      </c>
      <c r="AF37" s="19">
        <v>0</v>
      </c>
      <c r="AG37" s="19">
        <v>286200</v>
      </c>
      <c r="AH37" s="19">
        <v>59833</v>
      </c>
      <c r="AI37" s="19">
        <v>3568</v>
      </c>
      <c r="AJ37" s="19">
        <v>56840</v>
      </c>
      <c r="AK37" s="19">
        <v>9576</v>
      </c>
      <c r="AL37" s="19">
        <v>39340</v>
      </c>
      <c r="AM37" s="19">
        <v>278500</v>
      </c>
      <c r="AN37" s="19">
        <v>59833</v>
      </c>
      <c r="AO37" s="19">
        <v>3267</v>
      </c>
      <c r="AP37" s="19">
        <v>56840</v>
      </c>
      <c r="AQ37" s="19">
        <v>9576</v>
      </c>
      <c r="AR37" s="19">
        <v>0</v>
      </c>
      <c r="AS37" s="19">
        <v>278500</v>
      </c>
      <c r="AT37" s="19">
        <v>59833</v>
      </c>
      <c r="AU37" s="19">
        <v>3195</v>
      </c>
      <c r="AV37" s="19">
        <v>56840</v>
      </c>
      <c r="AW37" s="19">
        <v>9576</v>
      </c>
      <c r="AX37" s="19">
        <v>0</v>
      </c>
      <c r="AY37" s="19">
        <v>286200</v>
      </c>
      <c r="AZ37" s="19">
        <v>59833</v>
      </c>
      <c r="BA37" s="19">
        <v>3568</v>
      </c>
      <c r="BB37" s="19">
        <v>54415</v>
      </c>
      <c r="BC37" s="19">
        <v>9576</v>
      </c>
      <c r="BD37" s="19">
        <v>39340</v>
      </c>
      <c r="BE37" s="19">
        <v>278500</v>
      </c>
      <c r="BF37" s="19">
        <v>59833</v>
      </c>
      <c r="BG37" s="19">
        <v>3267</v>
      </c>
      <c r="BH37" s="19">
        <v>54415</v>
      </c>
      <c r="BI37" s="19">
        <v>9576</v>
      </c>
      <c r="BJ37" s="19">
        <v>0</v>
      </c>
      <c r="BK37" s="19">
        <v>278500</v>
      </c>
      <c r="BL37" s="19">
        <v>59833</v>
      </c>
      <c r="BM37" s="19">
        <v>3195</v>
      </c>
      <c r="BN37" s="19">
        <v>54415</v>
      </c>
      <c r="BO37" s="19">
        <v>9576</v>
      </c>
      <c r="BP37" s="19">
        <v>0</v>
      </c>
      <c r="BQ37" s="19">
        <v>276500</v>
      </c>
      <c r="BR37" s="19">
        <v>59833</v>
      </c>
      <c r="BS37" s="19">
        <v>3863</v>
      </c>
      <c r="BT37" s="19">
        <v>56824</v>
      </c>
      <c r="BU37" s="19">
        <v>9576</v>
      </c>
      <c r="BV37" s="19">
        <v>39340</v>
      </c>
      <c r="BW37" s="19">
        <v>276500</v>
      </c>
      <c r="BX37" s="19">
        <v>59833</v>
      </c>
      <c r="BY37" s="19">
        <v>3450</v>
      </c>
      <c r="BZ37" s="19">
        <v>56824</v>
      </c>
      <c r="CA37" s="19">
        <v>9576</v>
      </c>
      <c r="CB37" s="19">
        <v>0</v>
      </c>
      <c r="CC37" s="19">
        <v>284800</v>
      </c>
      <c r="CD37" s="19">
        <v>59833</v>
      </c>
      <c r="CE37" s="19">
        <v>3450</v>
      </c>
      <c r="CF37" s="19">
        <v>56824</v>
      </c>
      <c r="CG37" s="19">
        <v>9576</v>
      </c>
      <c r="CH37" s="19">
        <v>0</v>
      </c>
    </row>
    <row r="38" spans="2:86" x14ac:dyDescent="0.15">
      <c r="B38" s="17">
        <v>0</v>
      </c>
      <c r="C38" s="17" t="s">
        <v>62</v>
      </c>
      <c r="D38" s="17">
        <v>1460</v>
      </c>
      <c r="E38" s="17" t="s">
        <v>124</v>
      </c>
      <c r="F38" s="17" t="s">
        <v>125</v>
      </c>
      <c r="G38" s="17">
        <v>22</v>
      </c>
      <c r="H38" s="17" t="s">
        <v>62</v>
      </c>
      <c r="I38" s="17">
        <v>6</v>
      </c>
      <c r="J38" s="17" t="s">
        <v>73</v>
      </c>
      <c r="K38" s="17">
        <v>6</v>
      </c>
      <c r="L38" s="17" t="s">
        <v>119</v>
      </c>
      <c r="M38" s="17">
        <v>41400</v>
      </c>
      <c r="N38" s="17" t="s">
        <v>90</v>
      </c>
      <c r="O38" s="19">
        <v>206800</v>
      </c>
      <c r="P38" s="19">
        <v>48166</v>
      </c>
      <c r="Q38" s="19">
        <v>3078</v>
      </c>
      <c r="R38" s="19">
        <v>38118</v>
      </c>
      <c r="S38" s="19">
        <v>10679</v>
      </c>
      <c r="T38" s="19">
        <v>45390</v>
      </c>
      <c r="U38" s="19">
        <v>252600</v>
      </c>
      <c r="V38" s="19">
        <v>48166</v>
      </c>
      <c r="W38" s="19">
        <v>2402</v>
      </c>
      <c r="X38" s="19">
        <v>38118</v>
      </c>
      <c r="Y38" s="19">
        <v>10679</v>
      </c>
      <c r="Z38" s="19">
        <v>0</v>
      </c>
      <c r="AA38" s="19">
        <v>231400</v>
      </c>
      <c r="AB38" s="19">
        <v>48166</v>
      </c>
      <c r="AC38" s="19">
        <v>2885</v>
      </c>
      <c r="AD38" s="19">
        <v>38118</v>
      </c>
      <c r="AE38" s="19">
        <v>10679</v>
      </c>
      <c r="AF38" s="19">
        <v>0</v>
      </c>
      <c r="AG38" s="19">
        <v>226300</v>
      </c>
      <c r="AH38" s="19">
        <v>48166</v>
      </c>
      <c r="AI38" s="19">
        <v>3067</v>
      </c>
      <c r="AJ38" s="19">
        <v>38118</v>
      </c>
      <c r="AK38" s="19">
        <v>10679</v>
      </c>
      <c r="AL38" s="19">
        <v>45390</v>
      </c>
      <c r="AM38" s="19">
        <v>231600</v>
      </c>
      <c r="AN38" s="19">
        <v>48166</v>
      </c>
      <c r="AO38" s="19">
        <v>2588</v>
      </c>
      <c r="AP38" s="19">
        <v>38118</v>
      </c>
      <c r="AQ38" s="19">
        <v>10679</v>
      </c>
      <c r="AR38" s="19">
        <v>0</v>
      </c>
      <c r="AS38" s="19">
        <v>226600</v>
      </c>
      <c r="AT38" s="19">
        <v>48166</v>
      </c>
      <c r="AU38" s="19">
        <v>2638</v>
      </c>
      <c r="AV38" s="19">
        <v>38118</v>
      </c>
      <c r="AW38" s="19">
        <v>10679</v>
      </c>
      <c r="AX38" s="19">
        <v>0</v>
      </c>
      <c r="AY38" s="19">
        <v>243900</v>
      </c>
      <c r="AZ38" s="19">
        <v>48166</v>
      </c>
      <c r="BA38" s="19">
        <v>3149</v>
      </c>
      <c r="BB38" s="19">
        <v>44174</v>
      </c>
      <c r="BC38" s="19">
        <v>10679</v>
      </c>
      <c r="BD38" s="19">
        <v>45390</v>
      </c>
      <c r="BE38" s="19">
        <v>239800</v>
      </c>
      <c r="BF38" s="19">
        <v>48166</v>
      </c>
      <c r="BG38" s="19">
        <v>2754</v>
      </c>
      <c r="BH38" s="19">
        <v>44174</v>
      </c>
      <c r="BI38" s="19">
        <v>10679</v>
      </c>
      <c r="BJ38" s="19">
        <v>0</v>
      </c>
      <c r="BK38" s="19">
        <v>219600</v>
      </c>
      <c r="BL38" s="19">
        <v>48166</v>
      </c>
      <c r="BM38" s="19">
        <v>2716</v>
      </c>
      <c r="BN38" s="19">
        <v>44174</v>
      </c>
      <c r="BO38" s="19">
        <v>10679</v>
      </c>
      <c r="BP38" s="19">
        <v>0</v>
      </c>
      <c r="BQ38" s="19">
        <v>197400</v>
      </c>
      <c r="BR38" s="19">
        <v>48166</v>
      </c>
      <c r="BS38" s="19">
        <v>2984</v>
      </c>
      <c r="BT38" s="19">
        <v>38107</v>
      </c>
      <c r="BU38" s="19">
        <v>10679</v>
      </c>
      <c r="BV38" s="19">
        <v>45390</v>
      </c>
      <c r="BW38" s="19">
        <v>197400</v>
      </c>
      <c r="BX38" s="19">
        <v>48166</v>
      </c>
      <c r="BY38" s="19">
        <v>2509</v>
      </c>
      <c r="BZ38" s="19">
        <v>38107</v>
      </c>
      <c r="CA38" s="19">
        <v>10679</v>
      </c>
      <c r="CB38" s="19">
        <v>0</v>
      </c>
      <c r="CC38" s="19">
        <v>246600</v>
      </c>
      <c r="CD38" s="19">
        <v>48166</v>
      </c>
      <c r="CE38" s="19">
        <v>2729</v>
      </c>
      <c r="CF38" s="19">
        <v>38107</v>
      </c>
      <c r="CG38" s="19">
        <v>10679</v>
      </c>
      <c r="CH38" s="19">
        <v>0</v>
      </c>
    </row>
    <row r="39" spans="2:86" x14ac:dyDescent="0.15">
      <c r="B39" s="17">
        <v>0</v>
      </c>
      <c r="C39" s="17" t="s">
        <v>62</v>
      </c>
      <c r="D39" s="17">
        <v>1471</v>
      </c>
      <c r="E39" s="17" t="s">
        <v>69</v>
      </c>
      <c r="F39" s="17" t="s">
        <v>128</v>
      </c>
      <c r="G39" s="17">
        <v>22</v>
      </c>
      <c r="H39" s="17" t="s">
        <v>62</v>
      </c>
      <c r="I39" s="17">
        <v>6</v>
      </c>
      <c r="J39" s="17" t="s">
        <v>73</v>
      </c>
      <c r="K39" s="17">
        <v>6</v>
      </c>
      <c r="L39" s="17" t="s">
        <v>119</v>
      </c>
      <c r="M39" s="17">
        <v>41400</v>
      </c>
      <c r="N39" s="17" t="s">
        <v>90</v>
      </c>
      <c r="O39" s="19">
        <v>165900</v>
      </c>
      <c r="P39" s="19">
        <v>42166</v>
      </c>
      <c r="Q39" s="19">
        <v>2528</v>
      </c>
      <c r="R39" s="19">
        <v>31553</v>
      </c>
      <c r="S39" s="19">
        <v>7652</v>
      </c>
      <c r="T39" s="19">
        <v>43510</v>
      </c>
      <c r="U39" s="19">
        <v>197900</v>
      </c>
      <c r="V39" s="19">
        <v>42166</v>
      </c>
      <c r="W39" s="19">
        <v>1963</v>
      </c>
      <c r="X39" s="19">
        <v>31553</v>
      </c>
      <c r="Y39" s="19">
        <v>7652</v>
      </c>
      <c r="Z39" s="19">
        <v>0</v>
      </c>
      <c r="AA39" s="19">
        <v>188300</v>
      </c>
      <c r="AB39" s="19">
        <v>42166</v>
      </c>
      <c r="AC39" s="19">
        <v>2448</v>
      </c>
      <c r="AD39" s="19">
        <v>31553</v>
      </c>
      <c r="AE39" s="19">
        <v>7652</v>
      </c>
      <c r="AF39" s="19">
        <v>0</v>
      </c>
      <c r="AG39" s="19">
        <v>172300</v>
      </c>
      <c r="AH39" s="19">
        <v>42166</v>
      </c>
      <c r="AI39" s="19">
        <v>2588</v>
      </c>
      <c r="AJ39" s="19">
        <v>31553</v>
      </c>
      <c r="AK39" s="19">
        <v>7652</v>
      </c>
      <c r="AL39" s="19">
        <v>43510</v>
      </c>
      <c r="AM39" s="19">
        <v>180600</v>
      </c>
      <c r="AN39" s="19">
        <v>42166</v>
      </c>
      <c r="AO39" s="19">
        <v>2023</v>
      </c>
      <c r="AP39" s="19">
        <v>31553</v>
      </c>
      <c r="AQ39" s="19">
        <v>7652</v>
      </c>
      <c r="AR39" s="19">
        <v>0</v>
      </c>
      <c r="AS39" s="19">
        <v>180000</v>
      </c>
      <c r="AT39" s="19">
        <v>42166</v>
      </c>
      <c r="AU39" s="19">
        <v>2102</v>
      </c>
      <c r="AV39" s="19">
        <v>31553</v>
      </c>
      <c r="AW39" s="19">
        <v>7652</v>
      </c>
      <c r="AX39" s="19">
        <v>0</v>
      </c>
      <c r="AY39" s="19">
        <v>180600</v>
      </c>
      <c r="AZ39" s="19">
        <v>42166</v>
      </c>
      <c r="BA39" s="19">
        <v>2510</v>
      </c>
      <c r="BB39" s="19">
        <v>34705</v>
      </c>
      <c r="BC39" s="19">
        <v>7652</v>
      </c>
      <c r="BD39" s="19">
        <v>43510</v>
      </c>
      <c r="BE39" s="19">
        <v>180000</v>
      </c>
      <c r="BF39" s="19">
        <v>42166</v>
      </c>
      <c r="BG39" s="19">
        <v>2102</v>
      </c>
      <c r="BH39" s="19">
        <v>34705</v>
      </c>
      <c r="BI39" s="19">
        <v>7652</v>
      </c>
      <c r="BJ39" s="19">
        <v>0</v>
      </c>
      <c r="BK39" s="19">
        <v>187700</v>
      </c>
      <c r="BL39" s="19">
        <v>42166</v>
      </c>
      <c r="BM39" s="19">
        <v>2096</v>
      </c>
      <c r="BN39" s="19">
        <v>34705</v>
      </c>
      <c r="BO39" s="19">
        <v>7652</v>
      </c>
      <c r="BP39" s="19">
        <v>0</v>
      </c>
      <c r="BQ39" s="19">
        <v>165900</v>
      </c>
      <c r="BR39" s="19">
        <v>42166</v>
      </c>
      <c r="BS39" s="19">
        <v>2746</v>
      </c>
      <c r="BT39" s="19">
        <v>31544</v>
      </c>
      <c r="BU39" s="19">
        <v>7652</v>
      </c>
      <c r="BV39" s="19">
        <v>43510</v>
      </c>
      <c r="BW39" s="19">
        <v>165900</v>
      </c>
      <c r="BX39" s="19">
        <v>42166</v>
      </c>
      <c r="BY39" s="19">
        <v>2127</v>
      </c>
      <c r="BZ39" s="19">
        <v>31544</v>
      </c>
      <c r="CA39" s="19">
        <v>7652</v>
      </c>
      <c r="CB39" s="19">
        <v>0</v>
      </c>
      <c r="CC39" s="19">
        <v>181900</v>
      </c>
      <c r="CD39" s="19">
        <v>42166</v>
      </c>
      <c r="CE39" s="19">
        <v>2127</v>
      </c>
      <c r="CF39" s="19">
        <v>31544</v>
      </c>
      <c r="CG39" s="19">
        <v>7652</v>
      </c>
      <c r="CH39" s="19">
        <v>0</v>
      </c>
    </row>
    <row r="40" spans="2:86" x14ac:dyDescent="0.15">
      <c r="B40" s="17">
        <v>0</v>
      </c>
      <c r="C40" s="17" t="s">
        <v>62</v>
      </c>
      <c r="D40" s="17">
        <v>1213</v>
      </c>
      <c r="E40" s="17" t="s">
        <v>122</v>
      </c>
      <c r="F40" s="17" t="s">
        <v>123</v>
      </c>
      <c r="G40" s="17">
        <v>23</v>
      </c>
      <c r="H40" s="17" t="s">
        <v>150</v>
      </c>
      <c r="I40" s="17">
        <v>6</v>
      </c>
      <c r="J40" s="17" t="s">
        <v>73</v>
      </c>
      <c r="K40" s="17">
        <v>6</v>
      </c>
      <c r="L40" s="17" t="s">
        <v>119</v>
      </c>
      <c r="M40" s="17">
        <v>41400</v>
      </c>
      <c r="N40" s="17" t="s">
        <v>90</v>
      </c>
      <c r="O40" s="19">
        <v>312055</v>
      </c>
      <c r="P40" s="19">
        <v>0</v>
      </c>
      <c r="Q40" s="19">
        <v>3747</v>
      </c>
      <c r="R40" s="19">
        <v>50929</v>
      </c>
      <c r="S40" s="19">
        <v>0</v>
      </c>
      <c r="T40" s="19">
        <v>89490</v>
      </c>
      <c r="U40" s="19">
        <v>343283</v>
      </c>
      <c r="V40" s="19">
        <v>0</v>
      </c>
      <c r="W40" s="19">
        <v>2679</v>
      </c>
      <c r="X40" s="19">
        <v>50929</v>
      </c>
      <c r="Y40" s="19">
        <v>0</v>
      </c>
      <c r="Z40" s="19">
        <v>0</v>
      </c>
      <c r="AA40" s="19">
        <v>335225</v>
      </c>
      <c r="AB40" s="19">
        <v>0</v>
      </c>
      <c r="AC40" s="19">
        <v>3261</v>
      </c>
      <c r="AD40" s="19">
        <v>50929</v>
      </c>
      <c r="AE40" s="19">
        <v>0</v>
      </c>
      <c r="AF40" s="19">
        <v>0</v>
      </c>
      <c r="AG40" s="19">
        <v>332467</v>
      </c>
      <c r="AH40" s="19">
        <v>0</v>
      </c>
      <c r="AI40" s="19">
        <v>4034</v>
      </c>
      <c r="AJ40" s="19">
        <v>50929</v>
      </c>
      <c r="AK40" s="19">
        <v>0</v>
      </c>
      <c r="AL40" s="19">
        <v>89490</v>
      </c>
      <c r="AM40" s="19">
        <v>332467</v>
      </c>
      <c r="AN40" s="19">
        <v>0</v>
      </c>
      <c r="AO40" s="19">
        <v>3158</v>
      </c>
      <c r="AP40" s="19">
        <v>50929</v>
      </c>
      <c r="AQ40" s="19">
        <v>0</v>
      </c>
      <c r="AR40" s="19">
        <v>0</v>
      </c>
      <c r="AS40" s="19">
        <v>362495</v>
      </c>
      <c r="AT40" s="19">
        <v>0</v>
      </c>
      <c r="AU40" s="19">
        <v>3158</v>
      </c>
      <c r="AV40" s="19">
        <v>50929</v>
      </c>
      <c r="AW40" s="19">
        <v>0</v>
      </c>
      <c r="AX40" s="19">
        <v>0</v>
      </c>
      <c r="AY40" s="19">
        <v>359866</v>
      </c>
      <c r="AZ40" s="19">
        <v>0</v>
      </c>
      <c r="BA40" s="19">
        <v>4293</v>
      </c>
      <c r="BB40" s="19">
        <v>51530</v>
      </c>
      <c r="BC40" s="19">
        <v>0</v>
      </c>
      <c r="BD40" s="19">
        <v>89490</v>
      </c>
      <c r="BE40" s="19">
        <v>351553</v>
      </c>
      <c r="BF40" s="19">
        <v>0</v>
      </c>
      <c r="BG40" s="19">
        <v>3418</v>
      </c>
      <c r="BH40" s="19">
        <v>51530</v>
      </c>
      <c r="BI40" s="19">
        <v>0</v>
      </c>
      <c r="BJ40" s="19">
        <v>0</v>
      </c>
      <c r="BK40" s="19">
        <v>275000</v>
      </c>
      <c r="BL40" s="19">
        <v>0</v>
      </c>
      <c r="BM40" s="19">
        <v>3340</v>
      </c>
      <c r="BN40" s="19">
        <v>51530</v>
      </c>
      <c r="BO40" s="19">
        <v>0</v>
      </c>
      <c r="BP40" s="19">
        <v>0</v>
      </c>
      <c r="BQ40" s="19">
        <v>305000</v>
      </c>
      <c r="BR40" s="19">
        <v>0</v>
      </c>
      <c r="BS40" s="19">
        <v>4142</v>
      </c>
      <c r="BT40" s="19">
        <v>50912</v>
      </c>
      <c r="BU40" s="19">
        <v>0</v>
      </c>
      <c r="BV40" s="19">
        <v>89490</v>
      </c>
      <c r="BW40" s="19">
        <v>305000</v>
      </c>
      <c r="BX40" s="19">
        <v>0</v>
      </c>
      <c r="BY40" s="19">
        <v>3203</v>
      </c>
      <c r="BZ40" s="19">
        <v>50912</v>
      </c>
      <c r="CA40" s="19">
        <v>0</v>
      </c>
      <c r="CB40" s="19">
        <v>0</v>
      </c>
      <c r="CC40" s="19">
        <v>305000</v>
      </c>
      <c r="CD40" s="19">
        <v>0</v>
      </c>
      <c r="CE40" s="19">
        <v>3203</v>
      </c>
      <c r="CF40" s="19">
        <v>50912</v>
      </c>
      <c r="CG40" s="19">
        <v>0</v>
      </c>
      <c r="CH40" s="19">
        <v>0</v>
      </c>
    </row>
    <row r="41" spans="2:86" x14ac:dyDescent="0.15">
      <c r="O41" s="19">
        <f>SUM(O34:O40)</f>
        <v>1835999</v>
      </c>
      <c r="P41" s="19">
        <f t="shared" ref="P41:CA41" si="9">SUM(P34:P40)</f>
        <v>393831</v>
      </c>
      <c r="Q41" s="19">
        <f t="shared" si="9"/>
        <v>24344</v>
      </c>
      <c r="R41" s="19">
        <f t="shared" si="9"/>
        <v>344217</v>
      </c>
      <c r="S41" s="19">
        <f t="shared" si="9"/>
        <v>77936</v>
      </c>
      <c r="T41" s="19">
        <f t="shared" si="9"/>
        <v>308770</v>
      </c>
      <c r="U41" s="19">
        <f t="shared" si="9"/>
        <v>1952336</v>
      </c>
      <c r="V41" s="19">
        <f t="shared" si="9"/>
        <v>393831</v>
      </c>
      <c r="W41" s="19">
        <f t="shared" si="9"/>
        <v>20764</v>
      </c>
      <c r="X41" s="19">
        <f t="shared" si="9"/>
        <v>344217</v>
      </c>
      <c r="Y41" s="19">
        <f t="shared" si="9"/>
        <v>77936</v>
      </c>
      <c r="Z41" s="19">
        <f t="shared" si="9"/>
        <v>0</v>
      </c>
      <c r="AA41" s="19">
        <f t="shared" si="9"/>
        <v>1909531</v>
      </c>
      <c r="AB41" s="19">
        <f t="shared" si="9"/>
        <v>393831</v>
      </c>
      <c r="AC41" s="19">
        <f t="shared" si="9"/>
        <v>22583</v>
      </c>
      <c r="AD41" s="19">
        <f t="shared" si="9"/>
        <v>344217</v>
      </c>
      <c r="AE41" s="19">
        <f t="shared" si="9"/>
        <v>77936</v>
      </c>
      <c r="AF41" s="19">
        <f t="shared" si="9"/>
        <v>0</v>
      </c>
      <c r="AG41" s="19">
        <f t="shared" si="9"/>
        <v>1890817</v>
      </c>
      <c r="AH41" s="19">
        <f t="shared" si="9"/>
        <v>393831</v>
      </c>
      <c r="AI41" s="19">
        <f t="shared" si="9"/>
        <v>24327</v>
      </c>
      <c r="AJ41" s="19">
        <f t="shared" si="9"/>
        <v>344217</v>
      </c>
      <c r="AK41" s="19">
        <f t="shared" si="9"/>
        <v>77936</v>
      </c>
      <c r="AL41" s="19">
        <f t="shared" si="9"/>
        <v>271610</v>
      </c>
      <c r="AM41" s="19">
        <f t="shared" si="9"/>
        <v>1890767</v>
      </c>
      <c r="AN41" s="19">
        <f t="shared" si="9"/>
        <v>393831</v>
      </c>
      <c r="AO41" s="19">
        <f t="shared" si="9"/>
        <v>21569</v>
      </c>
      <c r="AP41" s="19">
        <f t="shared" si="9"/>
        <v>344217</v>
      </c>
      <c r="AQ41" s="19">
        <f t="shared" si="9"/>
        <v>77936</v>
      </c>
      <c r="AR41" s="19">
        <f t="shared" si="9"/>
        <v>0</v>
      </c>
      <c r="AS41" s="19">
        <f t="shared" si="9"/>
        <v>1919045</v>
      </c>
      <c r="AT41" s="19">
        <f t="shared" si="9"/>
        <v>393831</v>
      </c>
      <c r="AU41" s="19">
        <f t="shared" si="9"/>
        <v>21569</v>
      </c>
      <c r="AV41" s="19">
        <f t="shared" si="9"/>
        <v>344217</v>
      </c>
      <c r="AW41" s="19">
        <f t="shared" si="9"/>
        <v>77936</v>
      </c>
      <c r="AX41" s="19">
        <f t="shared" si="9"/>
        <v>0</v>
      </c>
      <c r="AY41" s="19">
        <f t="shared" si="9"/>
        <v>1974366</v>
      </c>
      <c r="AZ41" s="19">
        <f t="shared" si="9"/>
        <v>393831</v>
      </c>
      <c r="BA41" s="19">
        <f t="shared" si="9"/>
        <v>24892</v>
      </c>
      <c r="BB41" s="19">
        <f t="shared" si="9"/>
        <v>354635</v>
      </c>
      <c r="BC41" s="19">
        <f t="shared" si="9"/>
        <v>77936</v>
      </c>
      <c r="BD41" s="19">
        <f t="shared" si="9"/>
        <v>284150</v>
      </c>
      <c r="BE41" s="19">
        <f t="shared" si="9"/>
        <v>1947925</v>
      </c>
      <c r="BF41" s="19">
        <f t="shared" si="9"/>
        <v>393831</v>
      </c>
      <c r="BG41" s="19">
        <f t="shared" si="9"/>
        <v>22361</v>
      </c>
      <c r="BH41" s="19">
        <f t="shared" si="9"/>
        <v>354635</v>
      </c>
      <c r="BI41" s="19">
        <f t="shared" si="9"/>
        <v>77936</v>
      </c>
      <c r="BJ41" s="19">
        <f t="shared" si="9"/>
        <v>0</v>
      </c>
      <c r="BK41" s="19">
        <f t="shared" si="9"/>
        <v>1858200</v>
      </c>
      <c r="BL41" s="19">
        <f t="shared" si="9"/>
        <v>393831</v>
      </c>
      <c r="BM41" s="19">
        <f t="shared" si="9"/>
        <v>22113</v>
      </c>
      <c r="BN41" s="19">
        <f t="shared" si="9"/>
        <v>354635</v>
      </c>
      <c r="BO41" s="19">
        <f t="shared" si="9"/>
        <v>77936</v>
      </c>
      <c r="BP41" s="19">
        <f t="shared" si="9"/>
        <v>0</v>
      </c>
      <c r="BQ41" s="19">
        <f t="shared" si="9"/>
        <v>1803447</v>
      </c>
      <c r="BR41" s="19">
        <f t="shared" si="9"/>
        <v>393831</v>
      </c>
      <c r="BS41" s="19">
        <f t="shared" si="9"/>
        <v>26034</v>
      </c>
      <c r="BT41" s="19">
        <f t="shared" si="9"/>
        <v>344120</v>
      </c>
      <c r="BU41" s="19">
        <f t="shared" si="9"/>
        <v>77936</v>
      </c>
      <c r="BV41" s="19">
        <f t="shared" si="9"/>
        <v>308770</v>
      </c>
      <c r="BW41" s="19">
        <f t="shared" si="9"/>
        <v>1812839</v>
      </c>
      <c r="BX41" s="19">
        <f t="shared" si="9"/>
        <v>393831</v>
      </c>
      <c r="BY41" s="19">
        <f t="shared" si="9"/>
        <v>22530</v>
      </c>
      <c r="BZ41" s="19">
        <f t="shared" si="9"/>
        <v>344120</v>
      </c>
      <c r="CA41" s="19">
        <f t="shared" si="9"/>
        <v>77936</v>
      </c>
      <c r="CB41" s="19">
        <f t="shared" ref="CB41:CH41" si="10">SUM(CB34:CB40)</f>
        <v>0</v>
      </c>
      <c r="CC41" s="19">
        <f t="shared" si="10"/>
        <v>1888162</v>
      </c>
      <c r="CD41" s="19">
        <f t="shared" si="10"/>
        <v>393831</v>
      </c>
      <c r="CE41" s="19">
        <f t="shared" si="10"/>
        <v>22849</v>
      </c>
      <c r="CF41" s="19">
        <f t="shared" si="10"/>
        <v>344120</v>
      </c>
      <c r="CG41" s="19">
        <f t="shared" si="10"/>
        <v>77936</v>
      </c>
      <c r="CH41" s="19">
        <f t="shared" si="10"/>
        <v>0</v>
      </c>
    </row>
    <row r="42" spans="2:86" x14ac:dyDescent="0.15">
      <c r="B42" s="17">
        <v>0</v>
      </c>
      <c r="C42" s="17" t="s">
        <v>62</v>
      </c>
      <c r="D42" s="17">
        <v>1309</v>
      </c>
      <c r="E42" s="17" t="s">
        <v>134</v>
      </c>
      <c r="F42" s="17" t="s">
        <v>135</v>
      </c>
      <c r="G42" s="17">
        <v>12</v>
      </c>
      <c r="H42" s="17" t="s">
        <v>149</v>
      </c>
      <c r="I42" s="17">
        <v>6</v>
      </c>
      <c r="J42" s="17" t="s">
        <v>73</v>
      </c>
      <c r="K42" s="17">
        <v>9</v>
      </c>
      <c r="L42" s="17" t="s">
        <v>131</v>
      </c>
      <c r="M42" s="17">
        <v>41400</v>
      </c>
      <c r="N42" s="17" t="s">
        <v>90</v>
      </c>
      <c r="O42" s="19">
        <v>388100</v>
      </c>
      <c r="P42" s="19">
        <v>107166</v>
      </c>
      <c r="Q42" s="19">
        <v>5293</v>
      </c>
      <c r="R42" s="19">
        <v>77440</v>
      </c>
      <c r="S42" s="19">
        <v>41266</v>
      </c>
      <c r="T42" s="19">
        <v>66300</v>
      </c>
      <c r="U42" s="19">
        <v>388100</v>
      </c>
      <c r="V42" s="19">
        <v>107166</v>
      </c>
      <c r="W42" s="19">
        <v>4663</v>
      </c>
      <c r="X42" s="19">
        <v>77440</v>
      </c>
      <c r="Y42" s="19">
        <v>41266</v>
      </c>
      <c r="Z42" s="19">
        <v>0</v>
      </c>
      <c r="AA42" s="19">
        <v>388100</v>
      </c>
      <c r="AB42" s="19">
        <v>107166</v>
      </c>
      <c r="AC42" s="19">
        <v>4663</v>
      </c>
      <c r="AD42" s="19">
        <v>77440</v>
      </c>
      <c r="AE42" s="19">
        <v>41266</v>
      </c>
      <c r="AF42" s="19">
        <v>0</v>
      </c>
      <c r="AG42" s="19">
        <v>388100</v>
      </c>
      <c r="AH42" s="19">
        <v>107166</v>
      </c>
      <c r="AI42" s="19">
        <v>5293</v>
      </c>
      <c r="AJ42" s="19">
        <v>77440</v>
      </c>
      <c r="AK42" s="19">
        <v>41266</v>
      </c>
      <c r="AL42" s="19">
        <v>66300</v>
      </c>
      <c r="AM42" s="19">
        <v>388100</v>
      </c>
      <c r="AN42" s="19">
        <v>107166</v>
      </c>
      <c r="AO42" s="19">
        <v>4663</v>
      </c>
      <c r="AP42" s="19">
        <v>77440</v>
      </c>
      <c r="AQ42" s="19">
        <v>41266</v>
      </c>
      <c r="AR42" s="19">
        <v>0</v>
      </c>
      <c r="AS42" s="19">
        <v>388100</v>
      </c>
      <c r="AT42" s="19">
        <v>107166</v>
      </c>
      <c r="AU42" s="19">
        <v>4663</v>
      </c>
      <c r="AV42" s="19">
        <v>77440</v>
      </c>
      <c r="AW42" s="19">
        <v>41266</v>
      </c>
      <c r="AX42" s="19">
        <v>0</v>
      </c>
      <c r="AY42" s="19">
        <v>388100</v>
      </c>
      <c r="AZ42" s="19">
        <v>107166</v>
      </c>
      <c r="BA42" s="19">
        <v>5293</v>
      </c>
      <c r="BB42" s="19">
        <v>78166</v>
      </c>
      <c r="BC42" s="19">
        <v>41266</v>
      </c>
      <c r="BD42" s="19">
        <v>66300</v>
      </c>
      <c r="BE42" s="19">
        <v>388100</v>
      </c>
      <c r="BF42" s="19">
        <v>107166</v>
      </c>
      <c r="BG42" s="19">
        <v>4663</v>
      </c>
      <c r="BH42" s="19">
        <v>78166</v>
      </c>
      <c r="BI42" s="19">
        <v>41266</v>
      </c>
      <c r="BJ42" s="19">
        <v>0</v>
      </c>
      <c r="BK42" s="19">
        <v>388100</v>
      </c>
      <c r="BL42" s="19">
        <v>107166</v>
      </c>
      <c r="BM42" s="19">
        <v>4663</v>
      </c>
      <c r="BN42" s="19">
        <v>78166</v>
      </c>
      <c r="BO42" s="19">
        <v>41266</v>
      </c>
      <c r="BP42" s="19">
        <v>0</v>
      </c>
      <c r="BQ42" s="19">
        <v>388100</v>
      </c>
      <c r="BR42" s="19">
        <v>107166</v>
      </c>
      <c r="BS42" s="19">
        <v>5719</v>
      </c>
      <c r="BT42" s="19">
        <v>77419</v>
      </c>
      <c r="BU42" s="19">
        <v>41266</v>
      </c>
      <c r="BV42" s="19">
        <v>64100</v>
      </c>
      <c r="BW42" s="19">
        <v>388100</v>
      </c>
      <c r="BX42" s="19">
        <v>107166</v>
      </c>
      <c r="BY42" s="19">
        <v>5047</v>
      </c>
      <c r="BZ42" s="19">
        <v>77419</v>
      </c>
      <c r="CA42" s="19">
        <v>41266</v>
      </c>
      <c r="CB42" s="19">
        <v>0</v>
      </c>
      <c r="CC42" s="19">
        <v>388100</v>
      </c>
      <c r="CD42" s="19">
        <v>107166</v>
      </c>
      <c r="CE42" s="19">
        <v>5047</v>
      </c>
      <c r="CF42" s="19">
        <v>77419</v>
      </c>
      <c r="CG42" s="19">
        <v>41266</v>
      </c>
      <c r="CH42" s="19">
        <v>0</v>
      </c>
    </row>
    <row r="43" spans="2:86" x14ac:dyDescent="0.15">
      <c r="B43" s="17">
        <v>0</v>
      </c>
      <c r="C43" s="17" t="s">
        <v>62</v>
      </c>
      <c r="D43" s="17">
        <v>1432</v>
      </c>
      <c r="E43" s="17" t="s">
        <v>132</v>
      </c>
      <c r="F43" s="17" t="s">
        <v>133</v>
      </c>
      <c r="G43" s="17">
        <v>22</v>
      </c>
      <c r="H43" s="17" t="s">
        <v>62</v>
      </c>
      <c r="I43" s="17">
        <v>6</v>
      </c>
      <c r="J43" s="17" t="s">
        <v>73</v>
      </c>
      <c r="K43" s="17">
        <v>9</v>
      </c>
      <c r="L43" s="17" t="s">
        <v>131</v>
      </c>
      <c r="M43" s="17">
        <v>41400</v>
      </c>
      <c r="N43" s="17" t="s">
        <v>90</v>
      </c>
      <c r="O43" s="19">
        <v>231700</v>
      </c>
      <c r="P43" s="19">
        <v>52333</v>
      </c>
      <c r="Q43" s="19">
        <v>3252</v>
      </c>
      <c r="R43" s="19">
        <v>46771</v>
      </c>
      <c r="S43" s="19">
        <v>6951</v>
      </c>
      <c r="T43" s="19">
        <v>60500</v>
      </c>
      <c r="U43" s="19">
        <v>247100</v>
      </c>
      <c r="V43" s="19">
        <v>52333</v>
      </c>
      <c r="W43" s="19">
        <v>2677</v>
      </c>
      <c r="X43" s="19">
        <v>46771</v>
      </c>
      <c r="Y43" s="19">
        <v>6951</v>
      </c>
      <c r="Z43" s="19">
        <v>0</v>
      </c>
      <c r="AA43" s="19">
        <v>249100</v>
      </c>
      <c r="AB43" s="19">
        <v>52333</v>
      </c>
      <c r="AC43" s="19">
        <v>2881</v>
      </c>
      <c r="AD43" s="19">
        <v>46771</v>
      </c>
      <c r="AE43" s="19">
        <v>6951</v>
      </c>
      <c r="AF43" s="19">
        <v>0</v>
      </c>
      <c r="AG43" s="19">
        <v>249100</v>
      </c>
      <c r="AH43" s="19">
        <v>52333</v>
      </c>
      <c r="AI43" s="19">
        <v>3418</v>
      </c>
      <c r="AJ43" s="19">
        <v>46771</v>
      </c>
      <c r="AK43" s="19">
        <v>6951</v>
      </c>
      <c r="AL43" s="19">
        <v>60500</v>
      </c>
      <c r="AM43" s="19">
        <v>256800</v>
      </c>
      <c r="AN43" s="19">
        <v>52333</v>
      </c>
      <c r="AO43" s="19">
        <v>2843</v>
      </c>
      <c r="AP43" s="19">
        <v>46771</v>
      </c>
      <c r="AQ43" s="19">
        <v>6951</v>
      </c>
      <c r="AR43" s="19">
        <v>0</v>
      </c>
      <c r="AS43" s="19">
        <v>233700</v>
      </c>
      <c r="AT43" s="19">
        <v>52333</v>
      </c>
      <c r="AU43" s="19">
        <v>2916</v>
      </c>
      <c r="AV43" s="19">
        <v>46771</v>
      </c>
      <c r="AW43" s="19">
        <v>6951</v>
      </c>
      <c r="AX43" s="19">
        <v>0</v>
      </c>
      <c r="AY43" s="19">
        <v>233700</v>
      </c>
      <c r="AZ43" s="19">
        <v>52333</v>
      </c>
      <c r="BA43" s="19">
        <v>3271</v>
      </c>
      <c r="BB43" s="19">
        <v>47232</v>
      </c>
      <c r="BC43" s="19">
        <v>6951</v>
      </c>
      <c r="BD43" s="19">
        <v>60500</v>
      </c>
      <c r="BE43" s="19">
        <v>233700</v>
      </c>
      <c r="BF43" s="19">
        <v>52333</v>
      </c>
      <c r="BG43" s="19">
        <v>2696</v>
      </c>
      <c r="BH43" s="19">
        <v>47232</v>
      </c>
      <c r="BI43" s="19">
        <v>6951</v>
      </c>
      <c r="BJ43" s="19">
        <v>0</v>
      </c>
      <c r="BK43" s="19">
        <v>233700</v>
      </c>
      <c r="BL43" s="19">
        <v>52333</v>
      </c>
      <c r="BM43" s="19">
        <v>2696</v>
      </c>
      <c r="BN43" s="19">
        <v>47232</v>
      </c>
      <c r="BO43" s="19">
        <v>6951</v>
      </c>
      <c r="BP43" s="19">
        <v>0</v>
      </c>
      <c r="BQ43" s="19">
        <v>231700</v>
      </c>
      <c r="BR43" s="19">
        <v>52333</v>
      </c>
      <c r="BS43" s="19">
        <v>3521</v>
      </c>
      <c r="BT43" s="19">
        <v>46758</v>
      </c>
      <c r="BU43" s="19">
        <v>6951</v>
      </c>
      <c r="BV43" s="19">
        <v>58466</v>
      </c>
      <c r="BW43" s="19">
        <v>231700</v>
      </c>
      <c r="BX43" s="19">
        <v>52333</v>
      </c>
      <c r="BY43" s="19">
        <v>2907</v>
      </c>
      <c r="BZ43" s="19">
        <v>46758</v>
      </c>
      <c r="CA43" s="19">
        <v>6951</v>
      </c>
      <c r="CB43" s="19">
        <v>0</v>
      </c>
      <c r="CC43" s="19">
        <v>231700</v>
      </c>
      <c r="CD43" s="19">
        <v>52333</v>
      </c>
      <c r="CE43" s="19">
        <v>2907</v>
      </c>
      <c r="CF43" s="19">
        <v>46758</v>
      </c>
      <c r="CG43" s="19">
        <v>6951</v>
      </c>
      <c r="CH43" s="19">
        <v>0</v>
      </c>
    </row>
    <row r="44" spans="2:86" x14ac:dyDescent="0.15">
      <c r="B44" s="17">
        <v>0</v>
      </c>
      <c r="C44" s="17" t="s">
        <v>62</v>
      </c>
      <c r="D44" s="17">
        <v>1474</v>
      </c>
      <c r="E44" s="17" t="s">
        <v>136</v>
      </c>
      <c r="F44" s="17" t="s">
        <v>137</v>
      </c>
      <c r="G44" s="17">
        <v>22</v>
      </c>
      <c r="H44" s="17" t="s">
        <v>62</v>
      </c>
      <c r="I44" s="17">
        <v>6</v>
      </c>
      <c r="J44" s="17" t="s">
        <v>73</v>
      </c>
      <c r="K44" s="17">
        <v>9</v>
      </c>
      <c r="L44" s="17" t="s">
        <v>131</v>
      </c>
      <c r="M44" s="17">
        <v>41400</v>
      </c>
      <c r="N44" s="17" t="s">
        <v>90</v>
      </c>
      <c r="O44" s="19">
        <v>255000</v>
      </c>
      <c r="P44" s="19">
        <v>56666</v>
      </c>
      <c r="Q44" s="19">
        <v>3360</v>
      </c>
      <c r="R44" s="19">
        <v>47458</v>
      </c>
      <c r="S44" s="19">
        <v>4611</v>
      </c>
      <c r="T44" s="19">
        <v>51900</v>
      </c>
      <c r="U44" s="19">
        <v>262700</v>
      </c>
      <c r="V44" s="19">
        <v>56666</v>
      </c>
      <c r="W44" s="19">
        <v>2941</v>
      </c>
      <c r="X44" s="19">
        <v>47458</v>
      </c>
      <c r="Y44" s="19">
        <v>4611</v>
      </c>
      <c r="Z44" s="19">
        <v>0</v>
      </c>
      <c r="AA44" s="19">
        <v>264700</v>
      </c>
      <c r="AB44" s="19">
        <v>56666</v>
      </c>
      <c r="AC44" s="19">
        <v>3070</v>
      </c>
      <c r="AD44" s="19">
        <v>47458</v>
      </c>
      <c r="AE44" s="19">
        <v>4611</v>
      </c>
      <c r="AF44" s="19">
        <v>0</v>
      </c>
      <c r="AG44" s="19">
        <v>249300</v>
      </c>
      <c r="AH44" s="19">
        <v>56666</v>
      </c>
      <c r="AI44" s="19">
        <v>3580</v>
      </c>
      <c r="AJ44" s="19">
        <v>47458</v>
      </c>
      <c r="AK44" s="19">
        <v>4611</v>
      </c>
      <c r="AL44" s="19">
        <v>57634</v>
      </c>
      <c r="AM44" s="19">
        <v>249300</v>
      </c>
      <c r="AN44" s="19">
        <v>56666</v>
      </c>
      <c r="AO44" s="19">
        <v>2886</v>
      </c>
      <c r="AP44" s="19">
        <v>47458</v>
      </c>
      <c r="AQ44" s="19">
        <v>4611</v>
      </c>
      <c r="AR44" s="19">
        <v>0</v>
      </c>
      <c r="AS44" s="19">
        <v>249300</v>
      </c>
      <c r="AT44" s="19">
        <v>56666</v>
      </c>
      <c r="AU44" s="19">
        <v>2886</v>
      </c>
      <c r="AV44" s="19">
        <v>47458</v>
      </c>
      <c r="AW44" s="19">
        <v>4611</v>
      </c>
      <c r="AX44" s="19">
        <v>0</v>
      </c>
      <c r="AY44" s="19">
        <v>249300</v>
      </c>
      <c r="AZ44" s="19">
        <v>56666</v>
      </c>
      <c r="BA44" s="19">
        <v>3420</v>
      </c>
      <c r="BB44" s="19">
        <v>50910</v>
      </c>
      <c r="BC44" s="19">
        <v>4611</v>
      </c>
      <c r="BD44" s="19">
        <v>56200</v>
      </c>
      <c r="BE44" s="19">
        <v>249300</v>
      </c>
      <c r="BF44" s="19">
        <v>56666</v>
      </c>
      <c r="BG44" s="19">
        <v>2886</v>
      </c>
      <c r="BH44" s="19">
        <v>50910</v>
      </c>
      <c r="BI44" s="19">
        <v>4611</v>
      </c>
      <c r="BJ44" s="19">
        <v>0</v>
      </c>
      <c r="BK44" s="19">
        <v>249300</v>
      </c>
      <c r="BL44" s="19">
        <v>56666</v>
      </c>
      <c r="BM44" s="19">
        <v>2886</v>
      </c>
      <c r="BN44" s="19">
        <v>50910</v>
      </c>
      <c r="BO44" s="19">
        <v>4611</v>
      </c>
      <c r="BP44" s="19">
        <v>0</v>
      </c>
      <c r="BQ44" s="19">
        <v>247300</v>
      </c>
      <c r="BR44" s="19">
        <v>56666</v>
      </c>
      <c r="BS44" s="19">
        <v>3639</v>
      </c>
      <c r="BT44" s="19">
        <v>47445</v>
      </c>
      <c r="BU44" s="19">
        <v>4611</v>
      </c>
      <c r="BV44" s="19">
        <v>50166</v>
      </c>
      <c r="BW44" s="19">
        <v>247300</v>
      </c>
      <c r="BX44" s="19">
        <v>56666</v>
      </c>
      <c r="BY44" s="19">
        <v>3112</v>
      </c>
      <c r="BZ44" s="19">
        <v>47445</v>
      </c>
      <c r="CA44" s="19">
        <v>4611</v>
      </c>
      <c r="CB44" s="19">
        <v>0</v>
      </c>
      <c r="CC44" s="19">
        <v>247300</v>
      </c>
      <c r="CD44" s="19">
        <v>56666</v>
      </c>
      <c r="CE44" s="19">
        <v>3112</v>
      </c>
      <c r="CF44" s="19">
        <v>47445</v>
      </c>
      <c r="CG44" s="19">
        <v>4611</v>
      </c>
      <c r="CH44" s="19">
        <v>0</v>
      </c>
    </row>
    <row r="45" spans="2:86" x14ac:dyDescent="0.15">
      <c r="B45" s="17">
        <v>0</v>
      </c>
      <c r="C45" s="17" t="s">
        <v>62</v>
      </c>
      <c r="D45" s="17">
        <v>1431</v>
      </c>
      <c r="E45" s="17" t="s">
        <v>129</v>
      </c>
      <c r="F45" s="17" t="s">
        <v>130</v>
      </c>
      <c r="G45" s="17">
        <v>22</v>
      </c>
      <c r="H45" s="17" t="s">
        <v>62</v>
      </c>
      <c r="I45" s="17">
        <v>6</v>
      </c>
      <c r="J45" s="17" t="s">
        <v>73</v>
      </c>
      <c r="K45" s="17">
        <v>9</v>
      </c>
      <c r="L45" s="17" t="s">
        <v>131</v>
      </c>
      <c r="M45" s="17">
        <v>41400</v>
      </c>
      <c r="N45" s="17" t="s">
        <v>90</v>
      </c>
      <c r="O45" s="19">
        <v>250800</v>
      </c>
      <c r="P45" s="19">
        <v>0</v>
      </c>
      <c r="Q45" s="19">
        <v>1063</v>
      </c>
      <c r="R45" s="19">
        <v>38945</v>
      </c>
      <c r="S45" s="19">
        <v>0</v>
      </c>
      <c r="T45" s="19">
        <v>17300</v>
      </c>
      <c r="U45" s="19">
        <v>250800</v>
      </c>
      <c r="V45" s="19">
        <v>0</v>
      </c>
      <c r="W45" s="19">
        <v>994</v>
      </c>
      <c r="X45" s="19">
        <v>38945</v>
      </c>
      <c r="Y45" s="19">
        <v>0</v>
      </c>
      <c r="Z45" s="19">
        <v>0</v>
      </c>
      <c r="AA45" s="19">
        <v>250800</v>
      </c>
      <c r="AB45" s="19">
        <v>0</v>
      </c>
      <c r="AC45" s="19">
        <v>994</v>
      </c>
      <c r="AD45" s="19">
        <v>38945</v>
      </c>
      <c r="AE45" s="19">
        <v>0</v>
      </c>
      <c r="AF45" s="19">
        <v>0</v>
      </c>
      <c r="AG45" s="19">
        <v>250800</v>
      </c>
      <c r="AH45" s="19">
        <v>0</v>
      </c>
      <c r="AI45" s="19">
        <v>1193</v>
      </c>
      <c r="AJ45" s="19">
        <v>38945</v>
      </c>
      <c r="AK45" s="19">
        <v>0</v>
      </c>
      <c r="AL45" s="19">
        <v>49967</v>
      </c>
      <c r="AM45" s="19">
        <v>259100</v>
      </c>
      <c r="AN45" s="19">
        <v>0</v>
      </c>
      <c r="AO45" s="19">
        <v>994</v>
      </c>
      <c r="AP45" s="19">
        <v>38945</v>
      </c>
      <c r="AQ45" s="19">
        <v>0</v>
      </c>
      <c r="AR45" s="19">
        <v>0</v>
      </c>
      <c r="AS45" s="19">
        <v>2300</v>
      </c>
      <c r="AT45" s="19">
        <v>0</v>
      </c>
      <c r="AU45" s="19">
        <v>0</v>
      </c>
      <c r="AV45" s="19">
        <v>38945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250800</v>
      </c>
      <c r="BR45" s="19">
        <v>0</v>
      </c>
      <c r="BS45" s="19">
        <v>1326</v>
      </c>
      <c r="BT45" s="19">
        <v>38932</v>
      </c>
      <c r="BU45" s="19">
        <v>0</v>
      </c>
      <c r="BV45" s="19">
        <v>16700</v>
      </c>
      <c r="BW45" s="19">
        <v>250800</v>
      </c>
      <c r="BX45" s="19">
        <v>0</v>
      </c>
      <c r="BY45" s="19">
        <v>1242</v>
      </c>
      <c r="BZ45" s="19">
        <v>38932</v>
      </c>
      <c r="CA45" s="19">
        <v>0</v>
      </c>
      <c r="CB45" s="19">
        <v>0</v>
      </c>
      <c r="CC45" s="19">
        <v>250800</v>
      </c>
      <c r="CD45" s="19">
        <v>0</v>
      </c>
      <c r="CE45" s="19">
        <v>1242</v>
      </c>
      <c r="CF45" s="19">
        <v>38932</v>
      </c>
      <c r="CG45" s="19">
        <v>0</v>
      </c>
      <c r="CH45" s="19">
        <v>0</v>
      </c>
    </row>
    <row r="46" spans="2:86" x14ac:dyDescent="0.15">
      <c r="B46" s="17">
        <v>1</v>
      </c>
      <c r="C46" s="17" t="s">
        <v>70</v>
      </c>
      <c r="D46" s="17">
        <v>6036</v>
      </c>
      <c r="E46" s="17" t="s">
        <v>129</v>
      </c>
      <c r="F46" s="17" t="s">
        <v>130</v>
      </c>
      <c r="G46" s="17">
        <v>24</v>
      </c>
      <c r="H46" s="17" t="s">
        <v>70</v>
      </c>
      <c r="I46" s="17">
        <v>6</v>
      </c>
      <c r="J46" s="17" t="s">
        <v>73</v>
      </c>
      <c r="K46" s="17">
        <v>9</v>
      </c>
      <c r="L46" s="17" t="s">
        <v>131</v>
      </c>
      <c r="M46" s="17">
        <v>41400</v>
      </c>
      <c r="N46" s="17" t="s">
        <v>90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250420</v>
      </c>
      <c r="AZ46" s="19">
        <v>0</v>
      </c>
      <c r="BA46" s="19">
        <v>2644</v>
      </c>
      <c r="BB46" s="19">
        <v>39406</v>
      </c>
      <c r="BC46" s="19">
        <v>0</v>
      </c>
      <c r="BD46" s="19">
        <v>27900</v>
      </c>
      <c r="BE46" s="19">
        <v>247140</v>
      </c>
      <c r="BF46" s="19">
        <v>0</v>
      </c>
      <c r="BG46" s="19">
        <v>2613</v>
      </c>
      <c r="BH46" s="19">
        <v>39406</v>
      </c>
      <c r="BI46" s="19">
        <v>0</v>
      </c>
      <c r="BJ46" s="19">
        <v>27900</v>
      </c>
      <c r="BK46" s="19">
        <v>242220</v>
      </c>
      <c r="BL46" s="19">
        <v>0</v>
      </c>
      <c r="BM46" s="19">
        <v>2566</v>
      </c>
      <c r="BN46" s="19">
        <v>39406</v>
      </c>
      <c r="BO46" s="19">
        <v>0</v>
      </c>
      <c r="BP46" s="19">
        <v>27900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</row>
    <row r="47" spans="2:86" x14ac:dyDescent="0.15">
      <c r="O47" s="19">
        <f>SUM(O42:O46)</f>
        <v>1125600</v>
      </c>
      <c r="P47" s="19">
        <f t="shared" ref="P47:CA47" si="11">SUM(P42:P46)</f>
        <v>216165</v>
      </c>
      <c r="Q47" s="19">
        <f t="shared" si="11"/>
        <v>12968</v>
      </c>
      <c r="R47" s="19">
        <f t="shared" si="11"/>
        <v>210614</v>
      </c>
      <c r="S47" s="19">
        <f t="shared" si="11"/>
        <v>52828</v>
      </c>
      <c r="T47" s="19">
        <f t="shared" si="11"/>
        <v>196000</v>
      </c>
      <c r="U47" s="19">
        <f t="shared" si="11"/>
        <v>1148700</v>
      </c>
      <c r="V47" s="19">
        <f t="shared" si="11"/>
        <v>216165</v>
      </c>
      <c r="W47" s="19">
        <f t="shared" si="11"/>
        <v>11275</v>
      </c>
      <c r="X47" s="19">
        <f t="shared" si="11"/>
        <v>210614</v>
      </c>
      <c r="Y47" s="19">
        <f t="shared" si="11"/>
        <v>52828</v>
      </c>
      <c r="Z47" s="19">
        <f t="shared" si="11"/>
        <v>0</v>
      </c>
      <c r="AA47" s="19">
        <f t="shared" si="11"/>
        <v>1152700</v>
      </c>
      <c r="AB47" s="19">
        <f t="shared" si="11"/>
        <v>216165</v>
      </c>
      <c r="AC47" s="19">
        <f t="shared" si="11"/>
        <v>11608</v>
      </c>
      <c r="AD47" s="19">
        <f t="shared" si="11"/>
        <v>210614</v>
      </c>
      <c r="AE47" s="19">
        <f t="shared" si="11"/>
        <v>52828</v>
      </c>
      <c r="AF47" s="19">
        <f t="shared" si="11"/>
        <v>0</v>
      </c>
      <c r="AG47" s="19">
        <f t="shared" si="11"/>
        <v>1137300</v>
      </c>
      <c r="AH47" s="19">
        <f t="shared" si="11"/>
        <v>216165</v>
      </c>
      <c r="AI47" s="19">
        <f t="shared" si="11"/>
        <v>13484</v>
      </c>
      <c r="AJ47" s="19">
        <f t="shared" si="11"/>
        <v>210614</v>
      </c>
      <c r="AK47" s="19">
        <f t="shared" si="11"/>
        <v>52828</v>
      </c>
      <c r="AL47" s="19">
        <f t="shared" si="11"/>
        <v>234401</v>
      </c>
      <c r="AM47" s="19">
        <f t="shared" si="11"/>
        <v>1153300</v>
      </c>
      <c r="AN47" s="19">
        <f t="shared" si="11"/>
        <v>216165</v>
      </c>
      <c r="AO47" s="19">
        <f t="shared" si="11"/>
        <v>11386</v>
      </c>
      <c r="AP47" s="19">
        <f t="shared" si="11"/>
        <v>210614</v>
      </c>
      <c r="AQ47" s="19">
        <f t="shared" si="11"/>
        <v>52828</v>
      </c>
      <c r="AR47" s="19">
        <f t="shared" si="11"/>
        <v>0</v>
      </c>
      <c r="AS47" s="19">
        <f t="shared" si="11"/>
        <v>873400</v>
      </c>
      <c r="AT47" s="19">
        <f t="shared" si="11"/>
        <v>216165</v>
      </c>
      <c r="AU47" s="19">
        <f t="shared" si="11"/>
        <v>10465</v>
      </c>
      <c r="AV47" s="19">
        <f t="shared" si="11"/>
        <v>210614</v>
      </c>
      <c r="AW47" s="19">
        <f t="shared" si="11"/>
        <v>52828</v>
      </c>
      <c r="AX47" s="19">
        <f t="shared" si="11"/>
        <v>0</v>
      </c>
      <c r="AY47" s="19">
        <f t="shared" si="11"/>
        <v>1121520</v>
      </c>
      <c r="AZ47" s="19">
        <f t="shared" si="11"/>
        <v>216165</v>
      </c>
      <c r="BA47" s="19">
        <f t="shared" si="11"/>
        <v>14628</v>
      </c>
      <c r="BB47" s="19">
        <f t="shared" si="11"/>
        <v>215714</v>
      </c>
      <c r="BC47" s="19">
        <f t="shared" si="11"/>
        <v>52828</v>
      </c>
      <c r="BD47" s="19">
        <f t="shared" si="11"/>
        <v>210900</v>
      </c>
      <c r="BE47" s="19">
        <f t="shared" si="11"/>
        <v>1118240</v>
      </c>
      <c r="BF47" s="19">
        <f t="shared" si="11"/>
        <v>216165</v>
      </c>
      <c r="BG47" s="19">
        <f t="shared" si="11"/>
        <v>12858</v>
      </c>
      <c r="BH47" s="19">
        <f t="shared" si="11"/>
        <v>215714</v>
      </c>
      <c r="BI47" s="19">
        <f t="shared" si="11"/>
        <v>52828</v>
      </c>
      <c r="BJ47" s="19">
        <f t="shared" si="11"/>
        <v>27900</v>
      </c>
      <c r="BK47" s="19">
        <f t="shared" si="11"/>
        <v>1113320</v>
      </c>
      <c r="BL47" s="19">
        <f t="shared" si="11"/>
        <v>216165</v>
      </c>
      <c r="BM47" s="19">
        <f t="shared" si="11"/>
        <v>12811</v>
      </c>
      <c r="BN47" s="19">
        <f t="shared" si="11"/>
        <v>215714</v>
      </c>
      <c r="BO47" s="19">
        <f t="shared" si="11"/>
        <v>52828</v>
      </c>
      <c r="BP47" s="19">
        <f t="shared" si="11"/>
        <v>27900</v>
      </c>
      <c r="BQ47" s="19">
        <f t="shared" si="11"/>
        <v>1117900</v>
      </c>
      <c r="BR47" s="19">
        <f t="shared" si="11"/>
        <v>216165</v>
      </c>
      <c r="BS47" s="19">
        <f t="shared" si="11"/>
        <v>14205</v>
      </c>
      <c r="BT47" s="19">
        <f t="shared" si="11"/>
        <v>210554</v>
      </c>
      <c r="BU47" s="19">
        <f t="shared" si="11"/>
        <v>52828</v>
      </c>
      <c r="BV47" s="19">
        <f t="shared" si="11"/>
        <v>189432</v>
      </c>
      <c r="BW47" s="19">
        <f t="shared" si="11"/>
        <v>1117900</v>
      </c>
      <c r="BX47" s="19">
        <f t="shared" si="11"/>
        <v>216165</v>
      </c>
      <c r="BY47" s="19">
        <f t="shared" si="11"/>
        <v>12308</v>
      </c>
      <c r="BZ47" s="19">
        <f t="shared" si="11"/>
        <v>210554</v>
      </c>
      <c r="CA47" s="19">
        <f t="shared" si="11"/>
        <v>52828</v>
      </c>
      <c r="CB47" s="19">
        <f t="shared" ref="CB47:CH47" si="12">SUM(CB42:CB46)</f>
        <v>0</v>
      </c>
      <c r="CC47" s="19">
        <f t="shared" si="12"/>
        <v>1117900</v>
      </c>
      <c r="CD47" s="19">
        <f t="shared" si="12"/>
        <v>216165</v>
      </c>
      <c r="CE47" s="19">
        <f t="shared" si="12"/>
        <v>12308</v>
      </c>
      <c r="CF47" s="19">
        <f t="shared" si="12"/>
        <v>210554</v>
      </c>
      <c r="CG47" s="19">
        <f t="shared" si="12"/>
        <v>52828</v>
      </c>
      <c r="CH47" s="19">
        <f t="shared" si="12"/>
        <v>0</v>
      </c>
    </row>
    <row r="48" spans="2:86" x14ac:dyDescent="0.15">
      <c r="B48" s="17">
        <v>0</v>
      </c>
      <c r="C48" s="17" t="s">
        <v>62</v>
      </c>
      <c r="D48" s="17">
        <v>1183</v>
      </c>
      <c r="E48" s="17" t="s">
        <v>142</v>
      </c>
      <c r="F48" s="17" t="s">
        <v>143</v>
      </c>
      <c r="G48" s="17">
        <v>27</v>
      </c>
      <c r="H48" s="17" t="s">
        <v>153</v>
      </c>
      <c r="I48" s="17">
        <v>6</v>
      </c>
      <c r="J48" s="17" t="s">
        <v>73</v>
      </c>
      <c r="K48" s="17">
        <v>8</v>
      </c>
      <c r="L48" s="17" t="s">
        <v>140</v>
      </c>
      <c r="M48" s="17">
        <v>41400</v>
      </c>
      <c r="N48" s="17" t="s">
        <v>90</v>
      </c>
      <c r="O48" s="19">
        <v>422100</v>
      </c>
      <c r="P48" s="19">
        <v>126833</v>
      </c>
      <c r="Q48" s="19">
        <v>5461</v>
      </c>
      <c r="R48" s="19">
        <v>84876</v>
      </c>
      <c r="S48" s="19">
        <v>22648</v>
      </c>
      <c r="T48" s="19">
        <v>30300</v>
      </c>
      <c r="U48" s="19">
        <v>422100</v>
      </c>
      <c r="V48" s="19">
        <v>126833</v>
      </c>
      <c r="W48" s="19">
        <v>5173</v>
      </c>
      <c r="X48" s="19">
        <v>84876</v>
      </c>
      <c r="Y48" s="19">
        <v>22648</v>
      </c>
      <c r="Z48" s="19">
        <v>0</v>
      </c>
      <c r="AA48" s="19">
        <v>422100</v>
      </c>
      <c r="AB48" s="19">
        <v>126833</v>
      </c>
      <c r="AC48" s="19">
        <v>5173</v>
      </c>
      <c r="AD48" s="19">
        <v>84876</v>
      </c>
      <c r="AE48" s="19">
        <v>22648</v>
      </c>
      <c r="AF48" s="19">
        <v>0</v>
      </c>
      <c r="AG48" s="19">
        <v>422100</v>
      </c>
      <c r="AH48" s="19">
        <v>126833</v>
      </c>
      <c r="AI48" s="19">
        <v>5461</v>
      </c>
      <c r="AJ48" s="19">
        <v>84876</v>
      </c>
      <c r="AK48" s="19">
        <v>22648</v>
      </c>
      <c r="AL48" s="19">
        <v>30300</v>
      </c>
      <c r="AM48" s="19">
        <v>422100</v>
      </c>
      <c r="AN48" s="19">
        <v>126833</v>
      </c>
      <c r="AO48" s="19">
        <v>5173</v>
      </c>
      <c r="AP48" s="19">
        <v>84876</v>
      </c>
      <c r="AQ48" s="19">
        <v>22648</v>
      </c>
      <c r="AR48" s="19">
        <v>0</v>
      </c>
      <c r="AS48" s="19">
        <v>422100</v>
      </c>
      <c r="AT48" s="19">
        <v>126833</v>
      </c>
      <c r="AU48" s="19">
        <v>5173</v>
      </c>
      <c r="AV48" s="19">
        <v>84876</v>
      </c>
      <c r="AW48" s="19">
        <v>22648</v>
      </c>
      <c r="AX48" s="19">
        <v>0</v>
      </c>
      <c r="AY48" s="19">
        <v>422100</v>
      </c>
      <c r="AZ48" s="19">
        <v>126833</v>
      </c>
      <c r="BA48" s="19">
        <v>5461</v>
      </c>
      <c r="BB48" s="19">
        <v>85654</v>
      </c>
      <c r="BC48" s="19">
        <v>22648</v>
      </c>
      <c r="BD48" s="19">
        <v>30300</v>
      </c>
      <c r="BE48" s="19">
        <v>432100</v>
      </c>
      <c r="BF48" s="19">
        <v>126833</v>
      </c>
      <c r="BG48" s="19">
        <v>5268</v>
      </c>
      <c r="BH48" s="19">
        <v>85654</v>
      </c>
      <c r="BI48" s="19">
        <v>22648</v>
      </c>
      <c r="BJ48" s="19">
        <v>0</v>
      </c>
      <c r="BK48" s="19">
        <v>432100</v>
      </c>
      <c r="BL48" s="19">
        <v>126833</v>
      </c>
      <c r="BM48" s="19">
        <v>5268</v>
      </c>
      <c r="BN48" s="19">
        <v>85654</v>
      </c>
      <c r="BO48" s="19">
        <v>22648</v>
      </c>
      <c r="BP48" s="19">
        <v>0</v>
      </c>
      <c r="BQ48" s="19">
        <v>422100</v>
      </c>
      <c r="BR48" s="19">
        <v>126833</v>
      </c>
      <c r="BS48" s="19">
        <v>5898</v>
      </c>
      <c r="BT48" s="19">
        <v>84854</v>
      </c>
      <c r="BU48" s="19">
        <v>22648</v>
      </c>
      <c r="BV48" s="19">
        <v>29300</v>
      </c>
      <c r="BW48" s="19">
        <v>422100</v>
      </c>
      <c r="BX48" s="19">
        <v>126833</v>
      </c>
      <c r="BY48" s="19">
        <v>5591</v>
      </c>
      <c r="BZ48" s="19">
        <v>84854</v>
      </c>
      <c r="CA48" s="19">
        <v>22648</v>
      </c>
      <c r="CB48" s="19">
        <v>0</v>
      </c>
      <c r="CC48" s="19">
        <v>422100</v>
      </c>
      <c r="CD48" s="19">
        <v>126833</v>
      </c>
      <c r="CE48" s="19">
        <v>5591</v>
      </c>
      <c r="CF48" s="19">
        <v>84854</v>
      </c>
      <c r="CG48" s="19">
        <v>22648</v>
      </c>
      <c r="CH48" s="19">
        <v>0</v>
      </c>
    </row>
    <row r="49" spans="2:86" x14ac:dyDescent="0.15">
      <c r="B49" s="17">
        <v>0</v>
      </c>
      <c r="C49" s="17" t="s">
        <v>62</v>
      </c>
      <c r="D49" s="17">
        <v>1035</v>
      </c>
      <c r="E49" s="17" t="s">
        <v>141</v>
      </c>
      <c r="F49" s="17" t="s">
        <v>83</v>
      </c>
      <c r="G49" s="17">
        <v>22</v>
      </c>
      <c r="H49" s="17" t="s">
        <v>62</v>
      </c>
      <c r="I49" s="17">
        <v>6</v>
      </c>
      <c r="J49" s="17" t="s">
        <v>73</v>
      </c>
      <c r="K49" s="17">
        <v>8</v>
      </c>
      <c r="L49" s="17" t="s">
        <v>140</v>
      </c>
      <c r="M49" s="17">
        <v>41400</v>
      </c>
      <c r="N49" s="17" t="s">
        <v>90</v>
      </c>
      <c r="O49" s="19">
        <v>244300</v>
      </c>
      <c r="P49" s="19">
        <v>65666</v>
      </c>
      <c r="Q49" s="19">
        <v>3127</v>
      </c>
      <c r="R49" s="19">
        <v>48724</v>
      </c>
      <c r="S49" s="19">
        <v>0</v>
      </c>
      <c r="T49" s="19">
        <v>21600</v>
      </c>
      <c r="U49" s="19">
        <v>244300</v>
      </c>
      <c r="V49" s="19">
        <v>65666</v>
      </c>
      <c r="W49" s="19">
        <v>2922</v>
      </c>
      <c r="X49" s="19">
        <v>48724</v>
      </c>
      <c r="Y49" s="19">
        <v>0</v>
      </c>
      <c r="Z49" s="19">
        <v>0</v>
      </c>
      <c r="AA49" s="19">
        <v>244300</v>
      </c>
      <c r="AB49" s="19">
        <v>65666</v>
      </c>
      <c r="AC49" s="19">
        <v>2922</v>
      </c>
      <c r="AD49" s="19">
        <v>48724</v>
      </c>
      <c r="AE49" s="19">
        <v>0</v>
      </c>
      <c r="AF49" s="19">
        <v>0</v>
      </c>
      <c r="AG49" s="19">
        <v>244300</v>
      </c>
      <c r="AH49" s="19">
        <v>65666</v>
      </c>
      <c r="AI49" s="19">
        <v>3127</v>
      </c>
      <c r="AJ49" s="19">
        <v>48724</v>
      </c>
      <c r="AK49" s="19">
        <v>0</v>
      </c>
      <c r="AL49" s="19">
        <v>21600</v>
      </c>
      <c r="AM49" s="19">
        <v>244300</v>
      </c>
      <c r="AN49" s="19">
        <v>65666</v>
      </c>
      <c r="AO49" s="19">
        <v>2922</v>
      </c>
      <c r="AP49" s="19">
        <v>48724</v>
      </c>
      <c r="AQ49" s="19">
        <v>0</v>
      </c>
      <c r="AR49" s="19">
        <v>0</v>
      </c>
      <c r="AS49" s="19">
        <v>244300</v>
      </c>
      <c r="AT49" s="19">
        <v>65666</v>
      </c>
      <c r="AU49" s="19">
        <v>2922</v>
      </c>
      <c r="AV49" s="19">
        <v>48724</v>
      </c>
      <c r="AW49" s="19">
        <v>0</v>
      </c>
      <c r="AX49" s="19">
        <v>0</v>
      </c>
      <c r="AY49" s="19">
        <v>244300</v>
      </c>
      <c r="AZ49" s="19">
        <v>65666</v>
      </c>
      <c r="BA49" s="19">
        <v>3127</v>
      </c>
      <c r="BB49" s="19">
        <v>46193</v>
      </c>
      <c r="BC49" s="19">
        <v>0</v>
      </c>
      <c r="BD49" s="19">
        <v>21600</v>
      </c>
      <c r="BE49" s="19">
        <v>244300</v>
      </c>
      <c r="BF49" s="19">
        <v>65666</v>
      </c>
      <c r="BG49" s="19">
        <v>2922</v>
      </c>
      <c r="BH49" s="19">
        <v>46193</v>
      </c>
      <c r="BI49" s="19">
        <v>0</v>
      </c>
      <c r="BJ49" s="19">
        <v>0</v>
      </c>
      <c r="BK49" s="19">
        <v>244300</v>
      </c>
      <c r="BL49" s="19">
        <v>65666</v>
      </c>
      <c r="BM49" s="19">
        <v>2922</v>
      </c>
      <c r="BN49" s="19">
        <v>46193</v>
      </c>
      <c r="BO49" s="19">
        <v>0</v>
      </c>
      <c r="BP49" s="19">
        <v>0</v>
      </c>
      <c r="BQ49" s="19">
        <v>244300</v>
      </c>
      <c r="BR49" s="19">
        <v>65666</v>
      </c>
      <c r="BS49" s="19">
        <v>3383</v>
      </c>
      <c r="BT49" s="19">
        <v>48711</v>
      </c>
      <c r="BU49" s="19">
        <v>0</v>
      </c>
      <c r="BV49" s="19">
        <v>20866</v>
      </c>
      <c r="BW49" s="19">
        <v>244300</v>
      </c>
      <c r="BX49" s="19">
        <v>65666</v>
      </c>
      <c r="BY49" s="19">
        <v>3164</v>
      </c>
      <c r="BZ49" s="19">
        <v>48711</v>
      </c>
      <c r="CA49" s="19">
        <v>0</v>
      </c>
      <c r="CB49" s="19">
        <v>0</v>
      </c>
      <c r="CC49" s="19">
        <v>244300</v>
      </c>
      <c r="CD49" s="19">
        <v>65666</v>
      </c>
      <c r="CE49" s="19">
        <v>3164</v>
      </c>
      <c r="CF49" s="19">
        <v>48711</v>
      </c>
      <c r="CG49" s="19">
        <v>0</v>
      </c>
      <c r="CH49" s="19">
        <v>0</v>
      </c>
    </row>
    <row r="50" spans="2:86" x14ac:dyDescent="0.15">
      <c r="B50" s="17">
        <v>0</v>
      </c>
      <c r="C50" s="17" t="s">
        <v>62</v>
      </c>
      <c r="D50" s="17">
        <v>1362</v>
      </c>
      <c r="E50" s="17" t="s">
        <v>138</v>
      </c>
      <c r="F50" s="17" t="s">
        <v>139</v>
      </c>
      <c r="G50" s="17">
        <v>22</v>
      </c>
      <c r="H50" s="17" t="s">
        <v>62</v>
      </c>
      <c r="I50" s="17">
        <v>6</v>
      </c>
      <c r="J50" s="17" t="s">
        <v>73</v>
      </c>
      <c r="K50" s="17">
        <v>8</v>
      </c>
      <c r="L50" s="17" t="s">
        <v>140</v>
      </c>
      <c r="M50" s="17">
        <v>41400</v>
      </c>
      <c r="N50" s="17" t="s">
        <v>90</v>
      </c>
      <c r="O50" s="19">
        <v>281500</v>
      </c>
      <c r="P50" s="19">
        <v>19500</v>
      </c>
      <c r="Q50" s="19">
        <v>3012</v>
      </c>
      <c r="R50" s="19">
        <v>42644</v>
      </c>
      <c r="S50" s="19">
        <v>17531</v>
      </c>
      <c r="T50" s="19">
        <v>0</v>
      </c>
      <c r="U50" s="19">
        <v>281500</v>
      </c>
      <c r="V50" s="19">
        <v>19500</v>
      </c>
      <c r="W50" s="19">
        <v>2837</v>
      </c>
      <c r="X50" s="19">
        <v>42644</v>
      </c>
      <c r="Y50" s="19">
        <v>17531</v>
      </c>
      <c r="Z50" s="19">
        <v>0</v>
      </c>
      <c r="AA50" s="19">
        <v>284300</v>
      </c>
      <c r="AB50" s="19">
        <v>19500</v>
      </c>
      <c r="AC50" s="19">
        <v>2917</v>
      </c>
      <c r="AD50" s="19">
        <v>42644</v>
      </c>
      <c r="AE50" s="19">
        <v>17531</v>
      </c>
      <c r="AF50" s="19">
        <v>0</v>
      </c>
      <c r="AG50" s="19">
        <v>284300</v>
      </c>
      <c r="AH50" s="19">
        <v>19500</v>
      </c>
      <c r="AI50" s="19">
        <v>2864</v>
      </c>
      <c r="AJ50" s="19">
        <v>42644</v>
      </c>
      <c r="AK50" s="19">
        <v>17531</v>
      </c>
      <c r="AL50" s="19">
        <v>0</v>
      </c>
      <c r="AM50" s="19">
        <v>284300</v>
      </c>
      <c r="AN50" s="19">
        <v>19500</v>
      </c>
      <c r="AO50" s="19">
        <v>2864</v>
      </c>
      <c r="AP50" s="19">
        <v>42644</v>
      </c>
      <c r="AQ50" s="19">
        <v>17531</v>
      </c>
      <c r="AR50" s="19">
        <v>0</v>
      </c>
      <c r="AS50" s="19">
        <v>262300</v>
      </c>
      <c r="AT50" s="19">
        <v>19500</v>
      </c>
      <c r="AU50" s="19">
        <v>2655</v>
      </c>
      <c r="AV50" s="19">
        <v>42644</v>
      </c>
      <c r="AW50" s="19">
        <v>17531</v>
      </c>
      <c r="AX50" s="19">
        <v>0</v>
      </c>
      <c r="AY50" s="19">
        <v>273300</v>
      </c>
      <c r="AZ50" s="19">
        <v>19500</v>
      </c>
      <c r="BA50" s="19">
        <v>2760</v>
      </c>
      <c r="BB50" s="19">
        <v>43140</v>
      </c>
      <c r="BC50" s="19">
        <v>17531</v>
      </c>
      <c r="BD50" s="19">
        <v>0</v>
      </c>
      <c r="BE50" s="19">
        <v>264268</v>
      </c>
      <c r="BF50" s="19">
        <v>19500</v>
      </c>
      <c r="BG50" s="19">
        <v>2673</v>
      </c>
      <c r="BH50" s="19">
        <v>43140</v>
      </c>
      <c r="BI50" s="19">
        <v>17531</v>
      </c>
      <c r="BJ50" s="19">
        <v>0</v>
      </c>
      <c r="BK50" s="19">
        <v>54000</v>
      </c>
      <c r="BL50" s="19">
        <v>19500</v>
      </c>
      <c r="BM50" s="19">
        <v>185</v>
      </c>
      <c r="BN50" s="19">
        <v>45352</v>
      </c>
      <c r="BO50" s="19">
        <v>17531</v>
      </c>
      <c r="BP50" s="19">
        <v>0</v>
      </c>
      <c r="BQ50" s="19">
        <v>292200</v>
      </c>
      <c r="BR50" s="19">
        <v>19500</v>
      </c>
      <c r="BS50" s="19">
        <v>3791</v>
      </c>
      <c r="BT50" s="19">
        <v>42630</v>
      </c>
      <c r="BU50" s="19">
        <v>17531</v>
      </c>
      <c r="BV50" s="19">
        <v>12566</v>
      </c>
      <c r="BW50" s="19">
        <v>304200</v>
      </c>
      <c r="BX50" s="19">
        <v>19500</v>
      </c>
      <c r="BY50" s="19">
        <v>3228</v>
      </c>
      <c r="BZ50" s="19">
        <v>42630</v>
      </c>
      <c r="CA50" s="19">
        <v>17531</v>
      </c>
      <c r="CB50" s="19">
        <v>0</v>
      </c>
      <c r="CC50" s="19">
        <v>300000</v>
      </c>
      <c r="CD50" s="19">
        <v>19500</v>
      </c>
      <c r="CE50" s="19">
        <v>3354</v>
      </c>
      <c r="CF50" s="19">
        <v>42630</v>
      </c>
      <c r="CG50" s="19">
        <v>17531</v>
      </c>
      <c r="CH50" s="19">
        <v>0</v>
      </c>
    </row>
    <row r="51" spans="2:86" x14ac:dyDescent="0.15">
      <c r="O51" s="19">
        <f>SUM(O48:O50)</f>
        <v>947900</v>
      </c>
      <c r="P51" s="19">
        <f t="shared" ref="P51:CA51" si="13">SUM(P48:P50)</f>
        <v>211999</v>
      </c>
      <c r="Q51" s="19">
        <f t="shared" si="13"/>
        <v>11600</v>
      </c>
      <c r="R51" s="19">
        <f t="shared" si="13"/>
        <v>176244</v>
      </c>
      <c r="S51" s="19">
        <f t="shared" si="13"/>
        <v>40179</v>
      </c>
      <c r="T51" s="19">
        <f t="shared" si="13"/>
        <v>51900</v>
      </c>
      <c r="U51" s="19">
        <f t="shared" si="13"/>
        <v>947900</v>
      </c>
      <c r="V51" s="19">
        <f t="shared" si="13"/>
        <v>211999</v>
      </c>
      <c r="W51" s="19">
        <f t="shared" si="13"/>
        <v>10932</v>
      </c>
      <c r="X51" s="19">
        <f t="shared" si="13"/>
        <v>176244</v>
      </c>
      <c r="Y51" s="19">
        <f t="shared" si="13"/>
        <v>40179</v>
      </c>
      <c r="Z51" s="19">
        <f t="shared" si="13"/>
        <v>0</v>
      </c>
      <c r="AA51" s="19">
        <f t="shared" si="13"/>
        <v>950700</v>
      </c>
      <c r="AB51" s="19">
        <f t="shared" si="13"/>
        <v>211999</v>
      </c>
      <c r="AC51" s="19">
        <f t="shared" si="13"/>
        <v>11012</v>
      </c>
      <c r="AD51" s="19">
        <f t="shared" si="13"/>
        <v>176244</v>
      </c>
      <c r="AE51" s="19">
        <f t="shared" si="13"/>
        <v>40179</v>
      </c>
      <c r="AF51" s="19">
        <f t="shared" si="13"/>
        <v>0</v>
      </c>
      <c r="AG51" s="19">
        <f t="shared" si="13"/>
        <v>950700</v>
      </c>
      <c r="AH51" s="19">
        <f t="shared" si="13"/>
        <v>211999</v>
      </c>
      <c r="AI51" s="19">
        <f t="shared" si="13"/>
        <v>11452</v>
      </c>
      <c r="AJ51" s="19">
        <f t="shared" si="13"/>
        <v>176244</v>
      </c>
      <c r="AK51" s="19">
        <f t="shared" si="13"/>
        <v>40179</v>
      </c>
      <c r="AL51" s="19">
        <f t="shared" si="13"/>
        <v>51900</v>
      </c>
      <c r="AM51" s="19">
        <f t="shared" si="13"/>
        <v>950700</v>
      </c>
      <c r="AN51" s="19">
        <f t="shared" si="13"/>
        <v>211999</v>
      </c>
      <c r="AO51" s="19">
        <f t="shared" si="13"/>
        <v>10959</v>
      </c>
      <c r="AP51" s="19">
        <f t="shared" si="13"/>
        <v>176244</v>
      </c>
      <c r="AQ51" s="19">
        <f t="shared" si="13"/>
        <v>40179</v>
      </c>
      <c r="AR51" s="19">
        <f t="shared" si="13"/>
        <v>0</v>
      </c>
      <c r="AS51" s="19">
        <f t="shared" si="13"/>
        <v>928700</v>
      </c>
      <c r="AT51" s="19">
        <f t="shared" si="13"/>
        <v>211999</v>
      </c>
      <c r="AU51" s="19">
        <f t="shared" si="13"/>
        <v>10750</v>
      </c>
      <c r="AV51" s="19">
        <f t="shared" si="13"/>
        <v>176244</v>
      </c>
      <c r="AW51" s="19">
        <f t="shared" si="13"/>
        <v>40179</v>
      </c>
      <c r="AX51" s="19">
        <f t="shared" si="13"/>
        <v>0</v>
      </c>
      <c r="AY51" s="19">
        <f t="shared" si="13"/>
        <v>939700</v>
      </c>
      <c r="AZ51" s="19">
        <f t="shared" si="13"/>
        <v>211999</v>
      </c>
      <c r="BA51" s="19">
        <f t="shared" si="13"/>
        <v>11348</v>
      </c>
      <c r="BB51" s="19">
        <f t="shared" si="13"/>
        <v>174987</v>
      </c>
      <c r="BC51" s="19">
        <f t="shared" si="13"/>
        <v>40179</v>
      </c>
      <c r="BD51" s="19">
        <f t="shared" si="13"/>
        <v>51900</v>
      </c>
      <c r="BE51" s="19">
        <f t="shared" si="13"/>
        <v>940668</v>
      </c>
      <c r="BF51" s="19">
        <f t="shared" si="13"/>
        <v>211999</v>
      </c>
      <c r="BG51" s="19">
        <f t="shared" si="13"/>
        <v>10863</v>
      </c>
      <c r="BH51" s="19">
        <f t="shared" si="13"/>
        <v>174987</v>
      </c>
      <c r="BI51" s="19">
        <f t="shared" si="13"/>
        <v>40179</v>
      </c>
      <c r="BJ51" s="19">
        <f t="shared" si="13"/>
        <v>0</v>
      </c>
      <c r="BK51" s="19">
        <f t="shared" si="13"/>
        <v>730400</v>
      </c>
      <c r="BL51" s="19">
        <f t="shared" si="13"/>
        <v>211999</v>
      </c>
      <c r="BM51" s="19">
        <f t="shared" si="13"/>
        <v>8375</v>
      </c>
      <c r="BN51" s="19">
        <f t="shared" si="13"/>
        <v>177199</v>
      </c>
      <c r="BO51" s="19">
        <f t="shared" si="13"/>
        <v>40179</v>
      </c>
      <c r="BP51" s="19">
        <f t="shared" si="13"/>
        <v>0</v>
      </c>
      <c r="BQ51" s="19">
        <f t="shared" si="13"/>
        <v>958600</v>
      </c>
      <c r="BR51" s="19">
        <f t="shared" si="13"/>
        <v>211999</v>
      </c>
      <c r="BS51" s="19">
        <f t="shared" si="13"/>
        <v>13072</v>
      </c>
      <c r="BT51" s="19">
        <f t="shared" si="13"/>
        <v>176195</v>
      </c>
      <c r="BU51" s="19">
        <f t="shared" si="13"/>
        <v>40179</v>
      </c>
      <c r="BV51" s="19">
        <f t="shared" si="13"/>
        <v>62732</v>
      </c>
      <c r="BW51" s="19">
        <f t="shared" si="13"/>
        <v>970600</v>
      </c>
      <c r="BX51" s="19">
        <f t="shared" si="13"/>
        <v>211999</v>
      </c>
      <c r="BY51" s="19">
        <f t="shared" si="13"/>
        <v>11983</v>
      </c>
      <c r="BZ51" s="19">
        <f t="shared" si="13"/>
        <v>176195</v>
      </c>
      <c r="CA51" s="19">
        <f t="shared" si="13"/>
        <v>40179</v>
      </c>
      <c r="CB51" s="19">
        <f t="shared" ref="CB51:CH51" si="14">SUM(CB48:CB50)</f>
        <v>0</v>
      </c>
      <c r="CC51" s="19">
        <f t="shared" si="14"/>
        <v>966400</v>
      </c>
      <c r="CD51" s="19">
        <f t="shared" si="14"/>
        <v>211999</v>
      </c>
      <c r="CE51" s="19">
        <f t="shared" si="14"/>
        <v>12109</v>
      </c>
      <c r="CF51" s="19">
        <f t="shared" si="14"/>
        <v>176195</v>
      </c>
      <c r="CG51" s="19">
        <f t="shared" si="14"/>
        <v>40179</v>
      </c>
      <c r="CH51" s="19">
        <f t="shared" si="14"/>
        <v>0</v>
      </c>
    </row>
  </sheetData>
  <mergeCells count="12">
    <mergeCell ref="CC1:CH1"/>
    <mergeCell ref="O1:T1"/>
    <mergeCell ref="U1:Z1"/>
    <mergeCell ref="AA1:AF1"/>
    <mergeCell ref="AG1:AL1"/>
    <mergeCell ref="AM1:AR1"/>
    <mergeCell ref="AS1:AX1"/>
    <mergeCell ref="AY1:BD1"/>
    <mergeCell ref="BE1:BJ1"/>
    <mergeCell ref="BK1:BP1"/>
    <mergeCell ref="BQ1:BV1"/>
    <mergeCell ref="BW1:CB1"/>
  </mergeCells>
  <phoneticPr fontId="2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部集計</vt:lpstr>
      <vt:lpstr>明細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笹木美幸</dc:creator>
  <cp:lastModifiedBy>T.Nozaka</cp:lastModifiedBy>
  <cp:lastPrinted>2016-11-30T01:56:07Z</cp:lastPrinted>
  <dcterms:created xsi:type="dcterms:W3CDTF">2016-11-30T00:34:06Z</dcterms:created>
  <dcterms:modified xsi:type="dcterms:W3CDTF">2017-01-16T00:38:09Z</dcterms:modified>
</cp:coreProperties>
</file>