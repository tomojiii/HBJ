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720" yWindow="855" windowWidth="18075" windowHeight="11100" activeTab="3"/>
  </bookViews>
  <sheets>
    <sheet name="Ｈ27年度末退職金" sheetId="5" r:id="rId1"/>
    <sheet name="Ｈ28年度末退職金" sheetId="10" r:id="rId2"/>
    <sheet name="Ｈ29年度末退職金" sheetId="19" r:id="rId3"/>
    <sheet name="H28-H29対比" sheetId="20" r:id="rId4"/>
    <sheet name="退職金推移0年～20年" sheetId="8" r:id="rId5"/>
    <sheet name="退職金推移20年～40年" sheetId="9" r:id="rId6"/>
  </sheets>
  <definedNames>
    <definedName name="_xlnm.Print_Area" localSheetId="0">Ｈ27年度末退職金!$A$1:$S$47</definedName>
    <definedName name="_xlnm.Print_Area" localSheetId="1">Ｈ28年度末退職金!$A$1:$S$52</definedName>
    <definedName name="_xlnm.Print_Area" localSheetId="2">Ｈ29年度末退職金!$A$1:$S$47</definedName>
  </definedNames>
  <calcPr calcId="145621"/>
</workbook>
</file>

<file path=xl/calcChain.xml><?xml version="1.0" encoding="utf-8"?>
<calcChain xmlns="http://schemas.openxmlformats.org/spreadsheetml/2006/main">
  <c r="AQ30" i="20" l="1"/>
  <c r="AQ6" i="20"/>
  <c r="AQ8" i="20"/>
  <c r="AQ9" i="20"/>
  <c r="AQ10" i="20"/>
  <c r="AQ12" i="20"/>
  <c r="AQ13" i="20"/>
  <c r="AQ15" i="20"/>
  <c r="AQ16" i="20"/>
  <c r="AQ17" i="20"/>
  <c r="AQ18" i="20"/>
  <c r="AQ19" i="20"/>
  <c r="AQ21" i="20"/>
  <c r="AQ22" i="20"/>
  <c r="AQ24" i="20"/>
  <c r="AQ25" i="20"/>
  <c r="AQ26" i="20"/>
  <c r="AQ27" i="20"/>
  <c r="AQ28" i="20"/>
  <c r="AQ29" i="20"/>
  <c r="AQ5" i="20"/>
  <c r="AP30" i="20"/>
  <c r="AO30" i="20"/>
  <c r="AO6" i="20"/>
  <c r="AP6" i="20"/>
  <c r="AO8" i="20"/>
  <c r="AP8" i="20"/>
  <c r="AO9" i="20"/>
  <c r="AP9" i="20"/>
  <c r="AO13" i="20"/>
  <c r="AP13" i="20"/>
  <c r="AO15" i="20"/>
  <c r="AP15" i="20"/>
  <c r="AO16" i="20"/>
  <c r="AP16" i="20"/>
  <c r="AO17" i="20"/>
  <c r="AP17" i="20"/>
  <c r="AO18" i="20"/>
  <c r="AP18" i="20"/>
  <c r="AO19" i="20"/>
  <c r="AP19" i="20"/>
  <c r="AO21" i="20"/>
  <c r="AP21" i="20"/>
  <c r="AO22" i="20"/>
  <c r="AP22" i="20"/>
  <c r="AO24" i="20"/>
  <c r="AP24" i="20"/>
  <c r="AO25" i="20"/>
  <c r="AP25" i="20"/>
  <c r="AO26" i="20"/>
  <c r="AP26" i="20"/>
  <c r="AO27" i="20"/>
  <c r="AP27" i="20"/>
  <c r="AO28" i="20"/>
  <c r="AP28" i="20"/>
  <c r="AO29" i="20"/>
  <c r="AP29" i="20"/>
  <c r="AP5" i="20"/>
  <c r="AO5" i="20"/>
  <c r="AC30" i="20"/>
  <c r="AC31" i="20" s="1"/>
  <c r="Z30" i="20"/>
  <c r="AF29" i="20"/>
  <c r="AD29" i="20"/>
  <c r="AF28" i="20"/>
  <c r="AD28" i="20"/>
  <c r="AF27" i="20"/>
  <c r="AD27" i="20"/>
  <c r="AF26" i="20"/>
  <c r="AD26" i="20"/>
  <c r="AF25" i="20"/>
  <c r="AD25" i="20"/>
  <c r="AF24" i="20"/>
  <c r="AD24" i="20"/>
  <c r="AF22" i="20"/>
  <c r="AD22" i="20"/>
  <c r="AK21" i="20"/>
  <c r="AF21" i="20"/>
  <c r="AD21" i="20"/>
  <c r="AK19" i="20"/>
  <c r="AF19" i="20"/>
  <c r="AD19" i="20"/>
  <c r="AK18" i="20"/>
  <c r="AF18" i="20"/>
  <c r="AD18" i="20"/>
  <c r="AK17" i="20"/>
  <c r="AF17" i="20"/>
  <c r="AD17" i="20"/>
  <c r="AK16" i="20"/>
  <c r="AF16" i="20"/>
  <c r="AD16" i="20"/>
  <c r="AK15" i="20"/>
  <c r="AF15" i="20"/>
  <c r="AD15" i="20"/>
  <c r="AK13" i="20"/>
  <c r="AF13" i="20"/>
  <c r="AD13" i="20"/>
  <c r="AK9" i="20"/>
  <c r="AF9" i="20"/>
  <c r="AD9" i="20"/>
  <c r="AK8" i="20"/>
  <c r="AF8" i="20"/>
  <c r="AD8" i="20"/>
  <c r="AK6" i="20"/>
  <c r="AF6" i="20"/>
  <c r="AD6" i="20"/>
  <c r="AK5" i="20"/>
  <c r="AF5" i="20"/>
  <c r="AD5" i="20"/>
  <c r="AD30" i="20" s="1"/>
  <c r="AD31" i="20" s="1"/>
  <c r="AL2" i="20"/>
  <c r="R2" i="20"/>
  <c r="L5" i="20"/>
  <c r="Q5" i="20"/>
  <c r="L6" i="20"/>
  <c r="Q6" i="20"/>
  <c r="L7" i="20"/>
  <c r="Q7" i="20"/>
  <c r="L8" i="20"/>
  <c r="Q8" i="20"/>
  <c r="L9" i="20"/>
  <c r="Q9" i="20"/>
  <c r="Q11" i="20"/>
  <c r="L13" i="20"/>
  <c r="Q13" i="20"/>
  <c r="Q14" i="20"/>
  <c r="L15" i="20"/>
  <c r="Q15" i="20"/>
  <c r="L16" i="20"/>
  <c r="Q16" i="20"/>
  <c r="L17" i="20"/>
  <c r="Q17" i="20"/>
  <c r="L18" i="20"/>
  <c r="Q18" i="20"/>
  <c r="L19" i="20"/>
  <c r="Q19" i="20"/>
  <c r="L20" i="20"/>
  <c r="Q20" i="20"/>
  <c r="L21" i="20"/>
  <c r="Q21" i="20"/>
  <c r="L22" i="20"/>
  <c r="L23" i="20"/>
  <c r="L24" i="20"/>
  <c r="L25" i="20"/>
  <c r="L26" i="20"/>
  <c r="L27" i="20"/>
  <c r="L28" i="20"/>
  <c r="L29" i="20"/>
  <c r="C35" i="20"/>
  <c r="C36" i="20" s="1"/>
  <c r="C37" i="20" s="1"/>
  <c r="C38" i="20" s="1"/>
  <c r="C39" i="20" s="1"/>
  <c r="C40" i="20" s="1"/>
  <c r="C41" i="20" s="1"/>
  <c r="C42" i="20" s="1"/>
  <c r="C43" i="20" s="1"/>
  <c r="C44" i="20" s="1"/>
  <c r="C45" i="20" s="1"/>
  <c r="C46" i="20" s="1"/>
  <c r="C47" i="20" s="1"/>
  <c r="C48" i="20" s="1"/>
  <c r="C49" i="20" s="1"/>
  <c r="C34" i="20"/>
  <c r="C33" i="20"/>
  <c r="C32" i="20"/>
  <c r="I30" i="20"/>
  <c r="I31" i="20" s="1"/>
  <c r="F30" i="20"/>
  <c r="J29" i="20"/>
  <c r="J28" i="20"/>
  <c r="J27" i="20"/>
  <c r="J26" i="20"/>
  <c r="J25" i="20"/>
  <c r="J24" i="20"/>
  <c r="J22" i="20"/>
  <c r="J21" i="20"/>
  <c r="J20" i="20"/>
  <c r="J19" i="20"/>
  <c r="J18" i="20"/>
  <c r="J17" i="20"/>
  <c r="J16" i="20"/>
  <c r="J15" i="20"/>
  <c r="J14" i="20"/>
  <c r="J13" i="20"/>
  <c r="J11" i="20"/>
  <c r="J9" i="20"/>
  <c r="J8" i="20"/>
  <c r="J7" i="20"/>
  <c r="J6" i="20"/>
  <c r="J5" i="20"/>
  <c r="J30" i="20" l="1"/>
  <c r="J31" i="20" s="1"/>
  <c r="J7" i="10" l="1"/>
  <c r="L23" i="10" l="1"/>
  <c r="L11" i="19"/>
  <c r="K34" i="19"/>
  <c r="R34" i="19" s="1"/>
  <c r="C44" i="19"/>
  <c r="C45" i="19" s="1"/>
  <c r="C46" i="19" s="1"/>
  <c r="C47" i="19" s="1"/>
  <c r="C48" i="19" s="1"/>
  <c r="I29" i="19"/>
  <c r="F29" i="19"/>
  <c r="L24" i="19"/>
  <c r="J24" i="19"/>
  <c r="L23" i="19"/>
  <c r="J23" i="19"/>
  <c r="L22" i="19"/>
  <c r="J22" i="19"/>
  <c r="L21" i="19"/>
  <c r="J21" i="19"/>
  <c r="L20" i="19"/>
  <c r="J20" i="19"/>
  <c r="L19" i="19"/>
  <c r="J19" i="19"/>
  <c r="L18" i="19"/>
  <c r="J18" i="19"/>
  <c r="Q17" i="19"/>
  <c r="L17" i="19"/>
  <c r="J17" i="19"/>
  <c r="Q16" i="19"/>
  <c r="L16" i="19"/>
  <c r="J16" i="19"/>
  <c r="Q15" i="19"/>
  <c r="L15" i="19"/>
  <c r="J15" i="19"/>
  <c r="Q14" i="19"/>
  <c r="L14" i="19"/>
  <c r="J14" i="19"/>
  <c r="Q13" i="19"/>
  <c r="L13" i="19"/>
  <c r="J13" i="19"/>
  <c r="Q12" i="19"/>
  <c r="L12" i="19"/>
  <c r="J12" i="19"/>
  <c r="Q11" i="19"/>
  <c r="J11" i="19"/>
  <c r="Q8" i="19"/>
  <c r="L8" i="19"/>
  <c r="J8" i="19"/>
  <c r="Q7" i="19"/>
  <c r="L7" i="19"/>
  <c r="J7" i="19"/>
  <c r="Q6" i="19"/>
  <c r="L6" i="19"/>
  <c r="J6" i="19"/>
  <c r="Q5" i="19"/>
  <c r="L5" i="19"/>
  <c r="J5" i="19"/>
  <c r="R2" i="19"/>
  <c r="J22" i="10"/>
  <c r="J24" i="10"/>
  <c r="J25" i="10"/>
  <c r="J26" i="10"/>
  <c r="J27" i="10"/>
  <c r="J28" i="10"/>
  <c r="J29" i="10"/>
  <c r="J29" i="19" l="1"/>
  <c r="L27" i="10"/>
  <c r="L28" i="10"/>
  <c r="L29" i="10"/>
  <c r="L26" i="10" l="1"/>
  <c r="L25" i="10"/>
  <c r="L24" i="10"/>
  <c r="L22" i="10"/>
  <c r="I34" i="10"/>
  <c r="I30" i="19" s="1"/>
  <c r="F34" i="10"/>
  <c r="J24" i="5" l="1"/>
  <c r="J25" i="5"/>
  <c r="I25" i="5"/>
  <c r="Q24" i="5"/>
  <c r="L24" i="5"/>
  <c r="I5" i="8" l="1"/>
  <c r="J21" i="10"/>
  <c r="Q21" i="10"/>
  <c r="L21" i="10"/>
  <c r="J23" i="5" l="1"/>
  <c r="Q23" i="5"/>
  <c r="L23" i="5"/>
  <c r="I35" i="10" l="1"/>
  <c r="K40" i="10"/>
  <c r="R40" i="10" s="1"/>
  <c r="K39" i="10"/>
  <c r="R39" i="10" s="1"/>
  <c r="C49" i="10"/>
  <c r="C50" i="10" s="1"/>
  <c r="C51" i="10" s="1"/>
  <c r="C52" i="10" s="1"/>
  <c r="C53" i="10" s="1"/>
  <c r="Q20" i="10"/>
  <c r="L20" i="10"/>
  <c r="J20" i="10"/>
  <c r="Q19" i="10"/>
  <c r="L19" i="10"/>
  <c r="J19" i="10"/>
  <c r="Q18" i="10"/>
  <c r="L18" i="10"/>
  <c r="J18" i="10"/>
  <c r="Q17" i="10"/>
  <c r="L17" i="10"/>
  <c r="J17" i="10"/>
  <c r="Q16" i="10"/>
  <c r="L16" i="10"/>
  <c r="J16" i="10"/>
  <c r="Q15" i="10"/>
  <c r="L15" i="10"/>
  <c r="J15" i="10"/>
  <c r="Q14" i="10"/>
  <c r="J14" i="10"/>
  <c r="Q13" i="10"/>
  <c r="L13" i="10"/>
  <c r="J13" i="10"/>
  <c r="Q11" i="10"/>
  <c r="J11" i="10"/>
  <c r="Q9" i="10"/>
  <c r="L9" i="10"/>
  <c r="J9" i="10"/>
  <c r="Q8" i="10"/>
  <c r="L8" i="10"/>
  <c r="J8" i="10"/>
  <c r="Q7" i="10"/>
  <c r="L7" i="10"/>
  <c r="Q6" i="10"/>
  <c r="L6" i="10"/>
  <c r="J6" i="10"/>
  <c r="Q5" i="10"/>
  <c r="L5" i="10"/>
  <c r="J5" i="10"/>
  <c r="R2" i="10"/>
  <c r="J34" i="10" l="1"/>
  <c r="L21" i="5"/>
  <c r="L22" i="5"/>
  <c r="L20" i="5"/>
  <c r="L19" i="5"/>
  <c r="L17" i="5"/>
  <c r="L18" i="5"/>
  <c r="L15" i="5"/>
  <c r="L16" i="5"/>
  <c r="L11" i="5"/>
  <c r="L12" i="5"/>
  <c r="L13" i="5"/>
  <c r="L6" i="5"/>
  <c r="L7" i="5"/>
  <c r="L8" i="5"/>
  <c r="L9" i="5"/>
  <c r="L5" i="5"/>
  <c r="J35" i="10" l="1"/>
  <c r="J30" i="19"/>
  <c r="P64" i="9"/>
  <c r="P52" i="9"/>
  <c r="P40" i="9"/>
  <c r="P28" i="9"/>
  <c r="P16" i="9"/>
  <c r="P4" i="9"/>
  <c r="O6" i="9"/>
  <c r="O5" i="9"/>
  <c r="O4" i="9"/>
  <c r="L51" i="9"/>
  <c r="L50" i="9"/>
  <c r="L49" i="9"/>
  <c r="L48" i="9"/>
  <c r="L47" i="9"/>
  <c r="L46" i="9"/>
  <c r="L45" i="9"/>
  <c r="L44" i="9"/>
  <c r="L43" i="9"/>
  <c r="L42" i="9"/>
  <c r="L41" i="9"/>
  <c r="L39" i="9"/>
  <c r="L38" i="9"/>
  <c r="L37" i="9"/>
  <c r="L36" i="9"/>
  <c r="L35" i="9"/>
  <c r="L34" i="9"/>
  <c r="L33" i="9"/>
  <c r="L32" i="9"/>
  <c r="L31" i="9"/>
  <c r="L30" i="9"/>
  <c r="L29" i="9"/>
  <c r="L27" i="9"/>
  <c r="L26" i="9"/>
  <c r="L25" i="9"/>
  <c r="L24" i="9"/>
  <c r="L23" i="9"/>
  <c r="L22" i="9"/>
  <c r="L21" i="9"/>
  <c r="L20" i="9"/>
  <c r="L19" i="9"/>
  <c r="L18" i="9"/>
  <c r="L17" i="9"/>
  <c r="L52" i="9"/>
  <c r="L40" i="9"/>
  <c r="L28" i="9"/>
  <c r="L15" i="9"/>
  <c r="L14" i="9"/>
  <c r="L13" i="9"/>
  <c r="L12" i="9"/>
  <c r="L11" i="9"/>
  <c r="L10" i="9"/>
  <c r="L9" i="9"/>
  <c r="L8" i="9"/>
  <c r="L7" i="9"/>
  <c r="L6" i="9"/>
  <c r="L5" i="9"/>
  <c r="H63" i="9"/>
  <c r="H62" i="9"/>
  <c r="H61" i="9"/>
  <c r="H60" i="9"/>
  <c r="H59" i="9"/>
  <c r="H58" i="9"/>
  <c r="H57" i="9"/>
  <c r="H56" i="9"/>
  <c r="H55" i="9"/>
  <c r="H54" i="9"/>
  <c r="H53" i="9"/>
  <c r="H51" i="9"/>
  <c r="H50" i="9"/>
  <c r="H49" i="9"/>
  <c r="H48" i="9"/>
  <c r="H47" i="9"/>
  <c r="H46" i="9"/>
  <c r="H45" i="9"/>
  <c r="H44" i="9"/>
  <c r="H43" i="9"/>
  <c r="H42" i="9"/>
  <c r="H41" i="9"/>
  <c r="H39" i="9"/>
  <c r="H38" i="9"/>
  <c r="H37" i="9"/>
  <c r="H36" i="9"/>
  <c r="H35" i="9"/>
  <c r="H34" i="9"/>
  <c r="H33" i="9"/>
  <c r="H32" i="9"/>
  <c r="H31" i="9"/>
  <c r="H30" i="9"/>
  <c r="H29" i="9"/>
  <c r="H27" i="9"/>
  <c r="H26" i="9"/>
  <c r="H25" i="9"/>
  <c r="H24" i="9"/>
  <c r="H23" i="9"/>
  <c r="H22" i="9"/>
  <c r="H21" i="9"/>
  <c r="H20" i="9"/>
  <c r="H19" i="9"/>
  <c r="H18" i="9"/>
  <c r="H17" i="9"/>
  <c r="H15" i="9"/>
  <c r="H14" i="9"/>
  <c r="H13" i="9"/>
  <c r="H12" i="9"/>
  <c r="H11" i="9"/>
  <c r="H10" i="9"/>
  <c r="H9" i="9"/>
  <c r="H8" i="9"/>
  <c r="H7" i="9"/>
  <c r="H6" i="9"/>
  <c r="H5" i="9"/>
  <c r="K63" i="9"/>
  <c r="K6" i="9"/>
  <c r="K7" i="9" s="1"/>
  <c r="K8" i="9" s="1"/>
  <c r="K9" i="9" s="1"/>
  <c r="K10" i="9" s="1"/>
  <c r="K11" i="9" s="1"/>
  <c r="K12" i="9" s="1"/>
  <c r="K13" i="9" s="1"/>
  <c r="K14" i="9" s="1"/>
  <c r="K15" i="9" s="1"/>
  <c r="K16" i="9" s="1"/>
  <c r="K17" i="9" s="1"/>
  <c r="K18" i="9" s="1"/>
  <c r="K19" i="9" s="1"/>
  <c r="K20" i="9" s="1"/>
  <c r="K21" i="9" s="1"/>
  <c r="K22" i="9" s="1"/>
  <c r="K23" i="9" s="1"/>
  <c r="K24" i="9" s="1"/>
  <c r="K25" i="9" s="1"/>
  <c r="K26" i="9" s="1"/>
  <c r="K27" i="9" s="1"/>
  <c r="K28" i="9" s="1"/>
  <c r="K29" i="9" s="1"/>
  <c r="K30" i="9" s="1"/>
  <c r="K31" i="9" s="1"/>
  <c r="K32" i="9" s="1"/>
  <c r="K33" i="9" s="1"/>
  <c r="K34" i="9" s="1"/>
  <c r="K35" i="9" s="1"/>
  <c r="K36" i="9" s="1"/>
  <c r="K37" i="9" s="1"/>
  <c r="K38" i="9" s="1"/>
  <c r="K39" i="9" s="1"/>
  <c r="K40" i="9" s="1"/>
  <c r="K41" i="9" s="1"/>
  <c r="K42" i="9" s="1"/>
  <c r="K43" i="9" s="1"/>
  <c r="K44" i="9" s="1"/>
  <c r="K45" i="9" s="1"/>
  <c r="K46" i="9" s="1"/>
  <c r="K47" i="9" s="1"/>
  <c r="K48" i="9" s="1"/>
  <c r="K49" i="9" s="1"/>
  <c r="K50" i="9" s="1"/>
  <c r="K51" i="9" s="1"/>
  <c r="K52" i="9" s="1"/>
  <c r="K53" i="9" s="1"/>
  <c r="K54" i="9" s="1"/>
  <c r="K55" i="9" s="1"/>
  <c r="K56" i="9" s="1"/>
  <c r="K57" i="9" s="1"/>
  <c r="K58" i="9" s="1"/>
  <c r="K59" i="9" s="1"/>
  <c r="K60" i="9" s="1"/>
  <c r="K61" i="9" s="1"/>
  <c r="K62" i="9" s="1"/>
  <c r="K5" i="9"/>
  <c r="K4" i="9"/>
  <c r="D63" i="9"/>
  <c r="D62" i="9"/>
  <c r="D61" i="9"/>
  <c r="D60" i="9"/>
  <c r="D59" i="9"/>
  <c r="D58" i="9"/>
  <c r="D57" i="9"/>
  <c r="D56" i="9"/>
  <c r="D55" i="9"/>
  <c r="D54" i="9"/>
  <c r="D53" i="9"/>
  <c r="D51" i="9"/>
  <c r="D50" i="9"/>
  <c r="D49" i="9"/>
  <c r="D48" i="9"/>
  <c r="D47" i="9"/>
  <c r="D46" i="9"/>
  <c r="D45" i="9"/>
  <c r="D44" i="9"/>
  <c r="D43" i="9"/>
  <c r="D42" i="9"/>
  <c r="D41" i="9"/>
  <c r="D39" i="9"/>
  <c r="D37" i="9"/>
  <c r="D38" i="9"/>
  <c r="D36" i="9"/>
  <c r="D35" i="9"/>
  <c r="D34" i="9"/>
  <c r="D33" i="9"/>
  <c r="D32" i="9"/>
  <c r="D31" i="9"/>
  <c r="D30" i="9"/>
  <c r="D29" i="9"/>
  <c r="D27" i="9"/>
  <c r="D26" i="9"/>
  <c r="D25" i="9"/>
  <c r="D24" i="9"/>
  <c r="D23" i="9"/>
  <c r="D22" i="9"/>
  <c r="D21" i="9"/>
  <c r="D20" i="9"/>
  <c r="D19" i="9"/>
  <c r="D18" i="9"/>
  <c r="D17" i="9"/>
  <c r="G6" i="9"/>
  <c r="G7" i="9" s="1"/>
  <c r="G8" i="9" s="1"/>
  <c r="G9" i="9" s="1"/>
  <c r="G10" i="9" s="1"/>
  <c r="G11" i="9" s="1"/>
  <c r="G12" i="9" s="1"/>
  <c r="G13" i="9" s="1"/>
  <c r="G14" i="9" s="1"/>
  <c r="G15" i="9" s="1"/>
  <c r="G16" i="9" s="1"/>
  <c r="G17" i="9" s="1"/>
  <c r="G18" i="9" s="1"/>
  <c r="G19" i="9" s="1"/>
  <c r="G20" i="9" s="1"/>
  <c r="G21" i="9" s="1"/>
  <c r="G22" i="9" s="1"/>
  <c r="G23" i="9" s="1"/>
  <c r="G24" i="9" s="1"/>
  <c r="G25" i="9" s="1"/>
  <c r="G26" i="9" s="1"/>
  <c r="G27" i="9" s="1"/>
  <c r="G28" i="9" s="1"/>
  <c r="G29" i="9" s="1"/>
  <c r="G30" i="9" s="1"/>
  <c r="G31" i="9" s="1"/>
  <c r="G32" i="9" s="1"/>
  <c r="G33" i="9" s="1"/>
  <c r="G34" i="9" s="1"/>
  <c r="G35" i="9" s="1"/>
  <c r="G36" i="9" s="1"/>
  <c r="G37" i="9" s="1"/>
  <c r="G38" i="9" s="1"/>
  <c r="G39" i="9" s="1"/>
  <c r="G40" i="9" s="1"/>
  <c r="G41" i="9" s="1"/>
  <c r="G42" i="9" s="1"/>
  <c r="G43" i="9" s="1"/>
  <c r="G44" i="9" s="1"/>
  <c r="G45" i="9" s="1"/>
  <c r="G46" i="9" s="1"/>
  <c r="G47" i="9" s="1"/>
  <c r="G48" i="9" s="1"/>
  <c r="G49" i="9" s="1"/>
  <c r="G50" i="9" s="1"/>
  <c r="G51" i="9" s="1"/>
  <c r="G52" i="9" s="1"/>
  <c r="G53" i="9" s="1"/>
  <c r="G54" i="9" s="1"/>
  <c r="G55" i="9" s="1"/>
  <c r="G56" i="9" s="1"/>
  <c r="G57" i="9" s="1"/>
  <c r="G58" i="9" s="1"/>
  <c r="G59" i="9" s="1"/>
  <c r="G60" i="9" s="1"/>
  <c r="G61" i="9" s="1"/>
  <c r="G62" i="9" s="1"/>
  <c r="G63" i="9" s="1"/>
  <c r="G5" i="9"/>
  <c r="G4" i="9"/>
  <c r="D15" i="9"/>
  <c r="D14" i="9"/>
  <c r="D13" i="9"/>
  <c r="D12" i="9"/>
  <c r="D11" i="9"/>
  <c r="D10" i="9"/>
  <c r="D9" i="9"/>
  <c r="D8" i="9"/>
  <c r="D7" i="9"/>
  <c r="D6" i="9"/>
  <c r="D5" i="9"/>
  <c r="C6" i="9"/>
  <c r="C7" i="9" s="1"/>
  <c r="C8" i="9" s="1"/>
  <c r="C9" i="9" s="1"/>
  <c r="C10" i="9" s="1"/>
  <c r="C11" i="9" s="1"/>
  <c r="C12" i="9" s="1"/>
  <c r="C13" i="9" s="1"/>
  <c r="C14" i="9" s="1"/>
  <c r="C15" i="9" s="1"/>
  <c r="C16" i="9" s="1"/>
  <c r="C17" i="9" s="1"/>
  <c r="C18" i="9" s="1"/>
  <c r="C19" i="9" s="1"/>
  <c r="C20" i="9" s="1"/>
  <c r="C21" i="9" s="1"/>
  <c r="C22" i="9" s="1"/>
  <c r="C23" i="9" s="1"/>
  <c r="C24" i="9" s="1"/>
  <c r="C25" i="9" s="1"/>
  <c r="C26" i="9" s="1"/>
  <c r="C27" i="9" s="1"/>
  <c r="C28" i="9" s="1"/>
  <c r="C29" i="9" s="1"/>
  <c r="C30" i="9" s="1"/>
  <c r="C31" i="9" s="1"/>
  <c r="C32" i="9" s="1"/>
  <c r="C33" i="9" s="1"/>
  <c r="C34" i="9" s="1"/>
  <c r="C35" i="9" s="1"/>
  <c r="C36" i="9" s="1"/>
  <c r="C37" i="9" s="1"/>
  <c r="C38" i="9" s="1"/>
  <c r="C39" i="9" s="1"/>
  <c r="C40" i="9" s="1"/>
  <c r="C41" i="9" s="1"/>
  <c r="C42" i="9" s="1"/>
  <c r="C43" i="9" s="1"/>
  <c r="C44" i="9" s="1"/>
  <c r="C45" i="9" s="1"/>
  <c r="C46" i="9" s="1"/>
  <c r="C47" i="9" s="1"/>
  <c r="C48" i="9" s="1"/>
  <c r="C49" i="9" s="1"/>
  <c r="C50" i="9" s="1"/>
  <c r="C51" i="9" s="1"/>
  <c r="C52" i="9" s="1"/>
  <c r="C53" i="9" s="1"/>
  <c r="C54" i="9" s="1"/>
  <c r="C55" i="9" s="1"/>
  <c r="C56" i="9" s="1"/>
  <c r="C57" i="9" s="1"/>
  <c r="C58" i="9" s="1"/>
  <c r="C59" i="9" s="1"/>
  <c r="C60" i="9" s="1"/>
  <c r="C61" i="9" s="1"/>
  <c r="C62" i="9" s="1"/>
  <c r="C63" i="9" s="1"/>
  <c r="C5" i="9"/>
  <c r="E5" i="9"/>
  <c r="E4" i="9"/>
  <c r="P63" i="8"/>
  <c r="P62" i="8"/>
  <c r="P61" i="8"/>
  <c r="P60" i="8"/>
  <c r="P59" i="8"/>
  <c r="P58" i="8"/>
  <c r="P57" i="8"/>
  <c r="P56" i="8"/>
  <c r="P55" i="8"/>
  <c r="P54" i="8"/>
  <c r="P53" i="8"/>
  <c r="O64" i="8"/>
  <c r="Q64" i="8"/>
  <c r="P51" i="8"/>
  <c r="P50" i="8"/>
  <c r="P49" i="8"/>
  <c r="P48" i="8"/>
  <c r="P47" i="8"/>
  <c r="P46" i="8"/>
  <c r="P45" i="8"/>
  <c r="P44" i="8"/>
  <c r="P43" i="8"/>
  <c r="P42" i="8"/>
  <c r="P41" i="8"/>
  <c r="P39" i="8"/>
  <c r="P38" i="8"/>
  <c r="P37" i="8"/>
  <c r="P36" i="8"/>
  <c r="P35" i="8"/>
  <c r="P34" i="8"/>
  <c r="P33" i="8"/>
  <c r="P32" i="8"/>
  <c r="P31" i="8"/>
  <c r="P30" i="8"/>
  <c r="P29" i="8"/>
  <c r="P27" i="8"/>
  <c r="P26" i="8"/>
  <c r="P25" i="8"/>
  <c r="P24" i="8"/>
  <c r="P23" i="8"/>
  <c r="P22" i="8"/>
  <c r="P21" i="8"/>
  <c r="P20" i="8"/>
  <c r="P19" i="8"/>
  <c r="P18" i="8"/>
  <c r="P17" i="8"/>
  <c r="P15" i="8"/>
  <c r="P14" i="8"/>
  <c r="P13" i="8"/>
  <c r="P12" i="8"/>
  <c r="P11" i="8"/>
  <c r="P10" i="8"/>
  <c r="P9" i="8"/>
  <c r="P8" i="8"/>
  <c r="P7" i="8"/>
  <c r="P6" i="8"/>
  <c r="P5" i="8"/>
  <c r="L63" i="8"/>
  <c r="L62" i="8"/>
  <c r="L61" i="8"/>
  <c r="L60" i="8"/>
  <c r="L59" i="8"/>
  <c r="L58" i="8"/>
  <c r="L57" i="8"/>
  <c r="L56" i="8"/>
  <c r="L55" i="8"/>
  <c r="L54" i="8"/>
  <c r="L53" i="8"/>
  <c r="O6" i="8"/>
  <c r="O7" i="8"/>
  <c r="O8" i="8" s="1"/>
  <c r="O9" i="8" s="1"/>
  <c r="O10" i="8" s="1"/>
  <c r="O11" i="8" s="1"/>
  <c r="O12" i="8" s="1"/>
  <c r="O13" i="8" s="1"/>
  <c r="O14" i="8" s="1"/>
  <c r="O15" i="8" s="1"/>
  <c r="O16" i="8" s="1"/>
  <c r="O17" i="8" s="1"/>
  <c r="O18" i="8" s="1"/>
  <c r="O19" i="8" s="1"/>
  <c r="O20" i="8" s="1"/>
  <c r="O21" i="8" s="1"/>
  <c r="O22" i="8" s="1"/>
  <c r="O23" i="8" s="1"/>
  <c r="O24" i="8" s="1"/>
  <c r="O25" i="8" s="1"/>
  <c r="O26" i="8" s="1"/>
  <c r="O27" i="8" s="1"/>
  <c r="O28" i="8" s="1"/>
  <c r="O29" i="8" s="1"/>
  <c r="O30" i="8" s="1"/>
  <c r="O31" i="8" s="1"/>
  <c r="O32" i="8" s="1"/>
  <c r="O33" i="8" s="1"/>
  <c r="O34" i="8" s="1"/>
  <c r="O35" i="8" s="1"/>
  <c r="O36" i="8" s="1"/>
  <c r="O37" i="8" s="1"/>
  <c r="O38" i="8" s="1"/>
  <c r="O39" i="8" s="1"/>
  <c r="O40" i="8" s="1"/>
  <c r="O41" i="8" s="1"/>
  <c r="O42" i="8" s="1"/>
  <c r="O43" i="8" s="1"/>
  <c r="O44" i="8" s="1"/>
  <c r="O45" i="8" s="1"/>
  <c r="O46" i="8" s="1"/>
  <c r="O47" i="8" s="1"/>
  <c r="O48" i="8" s="1"/>
  <c r="O49" i="8" s="1"/>
  <c r="O50" i="8" s="1"/>
  <c r="O51" i="8" s="1"/>
  <c r="O52" i="8" s="1"/>
  <c r="O53" i="8" s="1"/>
  <c r="O54" i="8" s="1"/>
  <c r="O55" i="8" s="1"/>
  <c r="O56" i="8" s="1"/>
  <c r="O57" i="8" s="1"/>
  <c r="O58" i="8" s="1"/>
  <c r="O59" i="8" s="1"/>
  <c r="O60" i="8" s="1"/>
  <c r="O61" i="8" s="1"/>
  <c r="O62" i="8" s="1"/>
  <c r="O63" i="8" s="1"/>
  <c r="O5" i="8"/>
  <c r="O4" i="8"/>
  <c r="Q4" i="8" s="1"/>
  <c r="L51" i="8"/>
  <c r="L50" i="8"/>
  <c r="L49" i="8"/>
  <c r="L48" i="8"/>
  <c r="L47" i="8"/>
  <c r="L46" i="8"/>
  <c r="L45" i="8"/>
  <c r="L44" i="8"/>
  <c r="L43" i="8"/>
  <c r="L42" i="8"/>
  <c r="L41" i="8"/>
  <c r="L39" i="8"/>
  <c r="L38" i="8"/>
  <c r="L37" i="8"/>
  <c r="L36" i="8"/>
  <c r="L35" i="8"/>
  <c r="L34" i="8"/>
  <c r="L33" i="8"/>
  <c r="L32" i="8"/>
  <c r="L31" i="8"/>
  <c r="L30" i="8"/>
  <c r="L29" i="8"/>
  <c r="L27" i="8"/>
  <c r="L26" i="8"/>
  <c r="L25" i="8"/>
  <c r="L24" i="8"/>
  <c r="L23" i="8"/>
  <c r="L22" i="8"/>
  <c r="L21" i="8"/>
  <c r="L20" i="8"/>
  <c r="L19" i="8"/>
  <c r="L18" i="8"/>
  <c r="L17" i="8"/>
  <c r="L15" i="8"/>
  <c r="L14" i="8"/>
  <c r="L13" i="8"/>
  <c r="L12" i="8"/>
  <c r="L11" i="8"/>
  <c r="L10" i="8"/>
  <c r="L9" i="8"/>
  <c r="L8" i="8"/>
  <c r="L7" i="8"/>
  <c r="L6" i="8"/>
  <c r="M6" i="8" s="1"/>
  <c r="L5" i="8"/>
  <c r="H63" i="8"/>
  <c r="H62" i="8"/>
  <c r="H61" i="8"/>
  <c r="H60" i="8"/>
  <c r="H59" i="8"/>
  <c r="H58" i="8"/>
  <c r="H57" i="8"/>
  <c r="H56" i="8"/>
  <c r="H55" i="8"/>
  <c r="H54" i="8"/>
  <c r="H53" i="8"/>
  <c r="H51" i="8"/>
  <c r="H50" i="8"/>
  <c r="H49" i="8"/>
  <c r="H48" i="8"/>
  <c r="H47" i="8"/>
  <c r="H46" i="8"/>
  <c r="I46" i="8" s="1"/>
  <c r="H45" i="8"/>
  <c r="H44" i="8"/>
  <c r="H43" i="8"/>
  <c r="H42" i="8"/>
  <c r="H41" i="8"/>
  <c r="H39" i="8"/>
  <c r="H38" i="8"/>
  <c r="I38" i="8" s="1"/>
  <c r="H37" i="8"/>
  <c r="H36" i="8"/>
  <c r="H35" i="8"/>
  <c r="H34" i="8"/>
  <c r="H33" i="8"/>
  <c r="H32" i="8"/>
  <c r="H31" i="8"/>
  <c r="H30" i="8"/>
  <c r="H29" i="8"/>
  <c r="H27" i="8"/>
  <c r="H26" i="8"/>
  <c r="H25" i="8"/>
  <c r="H24" i="8"/>
  <c r="H23" i="8"/>
  <c r="H22" i="8"/>
  <c r="H21" i="8"/>
  <c r="H20" i="8"/>
  <c r="H19" i="8"/>
  <c r="H18" i="8"/>
  <c r="H17" i="8"/>
  <c r="I17" i="8" s="1"/>
  <c r="H15" i="8"/>
  <c r="H14" i="8"/>
  <c r="H13" i="8"/>
  <c r="H12" i="8"/>
  <c r="H11" i="8"/>
  <c r="H10" i="8"/>
  <c r="H9" i="8"/>
  <c r="H8" i="8"/>
  <c r="H7" i="8"/>
  <c r="H6" i="8"/>
  <c r="H5" i="8"/>
  <c r="D63" i="8"/>
  <c r="D62" i="8"/>
  <c r="D61" i="8"/>
  <c r="D60" i="8"/>
  <c r="D59" i="8"/>
  <c r="D58" i="8"/>
  <c r="D57" i="8"/>
  <c r="D56" i="8"/>
  <c r="D55" i="8"/>
  <c r="D54" i="8"/>
  <c r="D53" i="8"/>
  <c r="D51" i="8"/>
  <c r="D50" i="8"/>
  <c r="D49" i="8"/>
  <c r="D48" i="8"/>
  <c r="D47" i="8"/>
  <c r="D46" i="8"/>
  <c r="D45" i="8"/>
  <c r="D44" i="8"/>
  <c r="D43" i="8"/>
  <c r="D42" i="8"/>
  <c r="D41" i="8"/>
  <c r="D39" i="8"/>
  <c r="D38" i="8"/>
  <c r="D37" i="8"/>
  <c r="D36" i="8"/>
  <c r="D35" i="8"/>
  <c r="D34" i="8"/>
  <c r="D33" i="8"/>
  <c r="E33" i="8" s="1"/>
  <c r="D32" i="8"/>
  <c r="D31" i="8"/>
  <c r="D30" i="8"/>
  <c r="D29" i="8"/>
  <c r="D27" i="8"/>
  <c r="D26" i="8"/>
  <c r="D25" i="8"/>
  <c r="D24" i="8"/>
  <c r="D23" i="8"/>
  <c r="D22" i="8"/>
  <c r="D21" i="8"/>
  <c r="D20" i="8"/>
  <c r="D19" i="8"/>
  <c r="D18" i="8"/>
  <c r="D17" i="8"/>
  <c r="D15" i="8"/>
  <c r="D14" i="8"/>
  <c r="D13" i="8"/>
  <c r="D12" i="8"/>
  <c r="D11" i="8"/>
  <c r="D10" i="8"/>
  <c r="D9" i="8"/>
  <c r="D8" i="8"/>
  <c r="D7" i="8"/>
  <c r="D6" i="8"/>
  <c r="D5" i="8"/>
  <c r="M5" i="8"/>
  <c r="M7" i="8"/>
  <c r="M8" i="8"/>
  <c r="M9" i="8"/>
  <c r="M10" i="8"/>
  <c r="M11" i="8"/>
  <c r="M12" i="8"/>
  <c r="M13" i="8"/>
  <c r="M14" i="8"/>
  <c r="M15" i="8"/>
  <c r="M16" i="8"/>
  <c r="M17" i="8"/>
  <c r="M18" i="8"/>
  <c r="M19" i="8"/>
  <c r="M20" i="8"/>
  <c r="M21" i="8"/>
  <c r="M22" i="8"/>
  <c r="M23" i="8"/>
  <c r="M24" i="8"/>
  <c r="M25" i="8"/>
  <c r="M26" i="8"/>
  <c r="M27" i="8"/>
  <c r="M28" i="8"/>
  <c r="M29" i="8"/>
  <c r="M30" i="8"/>
  <c r="M31" i="8"/>
  <c r="M32" i="8"/>
  <c r="M33" i="8"/>
  <c r="M34" i="8"/>
  <c r="M35" i="8"/>
  <c r="M36" i="8"/>
  <c r="M37" i="8"/>
  <c r="M38" i="8"/>
  <c r="M39" i="8"/>
  <c r="M40" i="8"/>
  <c r="M41" i="8"/>
  <c r="M42" i="8"/>
  <c r="M43" i="8"/>
  <c r="M44" i="8"/>
  <c r="M45" i="8"/>
  <c r="M46" i="8"/>
  <c r="M47" i="8"/>
  <c r="M48" i="8"/>
  <c r="M49" i="8"/>
  <c r="M50" i="8"/>
  <c r="M51" i="8"/>
  <c r="M52" i="8"/>
  <c r="M53" i="8"/>
  <c r="M54" i="8"/>
  <c r="M55" i="8"/>
  <c r="M56" i="8"/>
  <c r="M57" i="8"/>
  <c r="M58" i="8"/>
  <c r="M59" i="8"/>
  <c r="M60" i="8"/>
  <c r="M61" i="8"/>
  <c r="M62" i="8"/>
  <c r="M63" i="8"/>
  <c r="M4" i="8"/>
  <c r="I6" i="8"/>
  <c r="I7" i="8"/>
  <c r="I8" i="8"/>
  <c r="I9" i="8"/>
  <c r="I10" i="8"/>
  <c r="I11" i="8"/>
  <c r="I12" i="8"/>
  <c r="I13" i="8"/>
  <c r="I14" i="8"/>
  <c r="I15" i="8"/>
  <c r="I16" i="8"/>
  <c r="I18" i="8"/>
  <c r="I19" i="8"/>
  <c r="I20" i="8"/>
  <c r="I21" i="8"/>
  <c r="I22" i="8"/>
  <c r="I23" i="8"/>
  <c r="I24" i="8"/>
  <c r="I25" i="8"/>
  <c r="I26" i="8"/>
  <c r="I27" i="8"/>
  <c r="I28" i="8"/>
  <c r="I29" i="8"/>
  <c r="I30" i="8"/>
  <c r="I31" i="8"/>
  <c r="I32" i="8"/>
  <c r="I33" i="8"/>
  <c r="I34" i="8"/>
  <c r="I35" i="8"/>
  <c r="I36" i="8"/>
  <c r="I37" i="8"/>
  <c r="I39" i="8"/>
  <c r="I40" i="8"/>
  <c r="I41" i="8"/>
  <c r="I42" i="8"/>
  <c r="I43" i="8"/>
  <c r="I44" i="8"/>
  <c r="I45" i="8"/>
  <c r="I47" i="8"/>
  <c r="I48" i="8"/>
  <c r="I49" i="8"/>
  <c r="I50" i="8"/>
  <c r="I51" i="8"/>
  <c r="I52" i="8"/>
  <c r="I53" i="8"/>
  <c r="I54" i="8"/>
  <c r="I55" i="8"/>
  <c r="I56" i="8"/>
  <c r="I57" i="8"/>
  <c r="I58" i="8"/>
  <c r="I59" i="8"/>
  <c r="I60" i="8"/>
  <c r="I61" i="8"/>
  <c r="I62" i="8"/>
  <c r="I63" i="8"/>
  <c r="I4" i="8"/>
  <c r="E17" i="8"/>
  <c r="E18" i="8"/>
  <c r="E19" i="8"/>
  <c r="E20" i="8"/>
  <c r="E21" i="8"/>
  <c r="E22" i="8"/>
  <c r="E23" i="8"/>
  <c r="E24" i="8"/>
  <c r="E25" i="8"/>
  <c r="E26" i="8"/>
  <c r="E27" i="8"/>
  <c r="E28" i="8"/>
  <c r="E29" i="8"/>
  <c r="E30" i="8"/>
  <c r="E31" i="8"/>
  <c r="E32" i="8"/>
  <c r="E34" i="8"/>
  <c r="E35" i="8"/>
  <c r="E36" i="8"/>
  <c r="E37" i="8"/>
  <c r="E38" i="8"/>
  <c r="E39" i="8"/>
  <c r="E40" i="8"/>
  <c r="E41" i="8"/>
  <c r="E42" i="8"/>
  <c r="E43" i="8"/>
  <c r="E44" i="8"/>
  <c r="E45" i="8"/>
  <c r="E46" i="8"/>
  <c r="E47" i="8"/>
  <c r="E48" i="8"/>
  <c r="E49" i="8"/>
  <c r="E50" i="8"/>
  <c r="E51" i="8"/>
  <c r="E52" i="8"/>
  <c r="E53" i="8"/>
  <c r="E54" i="8"/>
  <c r="E55" i="8"/>
  <c r="E56" i="8"/>
  <c r="E57" i="8"/>
  <c r="E58" i="8"/>
  <c r="E59" i="8"/>
  <c r="E60" i="8"/>
  <c r="E61" i="8"/>
  <c r="E62" i="8"/>
  <c r="E63" i="8"/>
  <c r="E5" i="8"/>
  <c r="E6" i="8"/>
  <c r="E7" i="8"/>
  <c r="E8" i="8"/>
  <c r="E9" i="8"/>
  <c r="E10" i="8"/>
  <c r="E11" i="8"/>
  <c r="E12" i="8"/>
  <c r="E13" i="8"/>
  <c r="E14" i="8"/>
  <c r="E15" i="8"/>
  <c r="E16" i="8"/>
  <c r="E4" i="8"/>
  <c r="K6" i="8"/>
  <c r="K7" i="8" s="1"/>
  <c r="K8" i="8" s="1"/>
  <c r="K9" i="8" s="1"/>
  <c r="K10" i="8" s="1"/>
  <c r="K11" i="8" s="1"/>
  <c r="K12" i="8" s="1"/>
  <c r="K13" i="8" s="1"/>
  <c r="K14" i="8" s="1"/>
  <c r="K15" i="8" s="1"/>
  <c r="K16" i="8" s="1"/>
  <c r="K17" i="8" s="1"/>
  <c r="K18" i="8" s="1"/>
  <c r="K19" i="8" s="1"/>
  <c r="K20" i="8" s="1"/>
  <c r="K21" i="8" s="1"/>
  <c r="K22" i="8" s="1"/>
  <c r="K23" i="8" s="1"/>
  <c r="K24" i="8" s="1"/>
  <c r="K25" i="8" s="1"/>
  <c r="K26" i="8" s="1"/>
  <c r="K27" i="8" s="1"/>
  <c r="K28" i="8" s="1"/>
  <c r="K29" i="8" s="1"/>
  <c r="K30" i="8" s="1"/>
  <c r="K31" i="8" s="1"/>
  <c r="K32" i="8" s="1"/>
  <c r="K33" i="8" s="1"/>
  <c r="K34" i="8" s="1"/>
  <c r="K35" i="8" s="1"/>
  <c r="K36" i="8" s="1"/>
  <c r="K37" i="8" s="1"/>
  <c r="K38" i="8" s="1"/>
  <c r="K39" i="8" s="1"/>
  <c r="K40" i="8" s="1"/>
  <c r="K41" i="8" s="1"/>
  <c r="K42" i="8" s="1"/>
  <c r="K43" i="8" s="1"/>
  <c r="K44" i="8" s="1"/>
  <c r="K45" i="8" s="1"/>
  <c r="K46" i="8" s="1"/>
  <c r="K47" i="8" s="1"/>
  <c r="K48" i="8" s="1"/>
  <c r="K49" i="8" s="1"/>
  <c r="K50" i="8" s="1"/>
  <c r="K51" i="8" s="1"/>
  <c r="K52" i="8" s="1"/>
  <c r="K53" i="8" s="1"/>
  <c r="K54" i="8" s="1"/>
  <c r="K55" i="8" s="1"/>
  <c r="K56" i="8" s="1"/>
  <c r="K57" i="8" s="1"/>
  <c r="K58" i="8" s="1"/>
  <c r="K59" i="8" s="1"/>
  <c r="K60" i="8" s="1"/>
  <c r="K61" i="8" s="1"/>
  <c r="K62" i="8" s="1"/>
  <c r="K63" i="8" s="1"/>
  <c r="K5" i="8"/>
  <c r="K4" i="8"/>
  <c r="G42" i="8"/>
  <c r="G43" i="8" s="1"/>
  <c r="G44" i="8" s="1"/>
  <c r="G45" i="8" s="1"/>
  <c r="G46" i="8" s="1"/>
  <c r="G47" i="8" s="1"/>
  <c r="G48" i="8" s="1"/>
  <c r="G49" i="8" s="1"/>
  <c r="G50" i="8" s="1"/>
  <c r="G51" i="8" s="1"/>
  <c r="G52" i="8" s="1"/>
  <c r="G53" i="8" s="1"/>
  <c r="G54" i="8" s="1"/>
  <c r="G55" i="8" s="1"/>
  <c r="G56" i="8" s="1"/>
  <c r="G57" i="8" s="1"/>
  <c r="G58" i="8" s="1"/>
  <c r="G59" i="8" s="1"/>
  <c r="G60" i="8" s="1"/>
  <c r="G61" i="8" s="1"/>
  <c r="G62" i="8" s="1"/>
  <c r="G63" i="8" s="1"/>
  <c r="G41" i="8"/>
  <c r="G40" i="8"/>
  <c r="G39" i="8"/>
  <c r="G7" i="8"/>
  <c r="G8" i="8" s="1"/>
  <c r="G9" i="8" s="1"/>
  <c r="G10" i="8" s="1"/>
  <c r="G11" i="8" s="1"/>
  <c r="G12" i="8" s="1"/>
  <c r="G13" i="8" s="1"/>
  <c r="G14" i="8" s="1"/>
  <c r="G15" i="8" s="1"/>
  <c r="G16" i="8" s="1"/>
  <c r="G17" i="8" s="1"/>
  <c r="G18" i="8" s="1"/>
  <c r="G19" i="8" s="1"/>
  <c r="G20" i="8" s="1"/>
  <c r="G21" i="8" s="1"/>
  <c r="G22" i="8" s="1"/>
  <c r="G23" i="8" s="1"/>
  <c r="G24" i="8" s="1"/>
  <c r="G25" i="8" s="1"/>
  <c r="G26" i="8" s="1"/>
  <c r="G27" i="8" s="1"/>
  <c r="G28" i="8" s="1"/>
  <c r="G29" i="8" s="1"/>
  <c r="G30" i="8" s="1"/>
  <c r="G31" i="8" s="1"/>
  <c r="G32" i="8" s="1"/>
  <c r="G33" i="8" s="1"/>
  <c r="G34" i="8" s="1"/>
  <c r="G35" i="8" s="1"/>
  <c r="G36" i="8" s="1"/>
  <c r="G37" i="8" s="1"/>
  <c r="G38" i="8" s="1"/>
  <c r="G6" i="8"/>
  <c r="G5" i="8"/>
  <c r="G4" i="8"/>
  <c r="C11" i="8"/>
  <c r="C12" i="8" s="1"/>
  <c r="C13" i="8" s="1"/>
  <c r="C14" i="8" s="1"/>
  <c r="C15" i="8" s="1"/>
  <c r="C16" i="8" s="1"/>
  <c r="C17" i="8" s="1"/>
  <c r="C18" i="8" s="1"/>
  <c r="C19" i="8" s="1"/>
  <c r="C20" i="8" s="1"/>
  <c r="C21" i="8" s="1"/>
  <c r="C22" i="8" s="1"/>
  <c r="C23" i="8" s="1"/>
  <c r="C24" i="8" s="1"/>
  <c r="C25" i="8" s="1"/>
  <c r="C26" i="8" s="1"/>
  <c r="C27" i="8" s="1"/>
  <c r="C28" i="8" s="1"/>
  <c r="C29" i="8" s="1"/>
  <c r="C30" i="8" s="1"/>
  <c r="C31" i="8" s="1"/>
  <c r="C32" i="8" s="1"/>
  <c r="C33" i="8" s="1"/>
  <c r="C34" i="8" s="1"/>
  <c r="C35" i="8" s="1"/>
  <c r="C36" i="8" s="1"/>
  <c r="C37" i="8" s="1"/>
  <c r="C38" i="8" s="1"/>
  <c r="C39" i="8" s="1"/>
  <c r="C40" i="8" s="1"/>
  <c r="C41" i="8" s="1"/>
  <c r="C42" i="8" s="1"/>
  <c r="C43" i="8" s="1"/>
  <c r="C44" i="8" s="1"/>
  <c r="C45" i="8" s="1"/>
  <c r="C46" i="8" s="1"/>
  <c r="C47" i="8" s="1"/>
  <c r="C48" i="8" s="1"/>
  <c r="C49" i="8" s="1"/>
  <c r="C50" i="8" s="1"/>
  <c r="C51" i="8" s="1"/>
  <c r="C52" i="8" s="1"/>
  <c r="C53" i="8" s="1"/>
  <c r="C54" i="8" s="1"/>
  <c r="C55" i="8" s="1"/>
  <c r="C56" i="8" s="1"/>
  <c r="C57" i="8" s="1"/>
  <c r="C58" i="8" s="1"/>
  <c r="C59" i="8" s="1"/>
  <c r="C60" i="8" s="1"/>
  <c r="C61" i="8" s="1"/>
  <c r="C62" i="8" s="1"/>
  <c r="C63" i="8" s="1"/>
  <c r="C7" i="8"/>
  <c r="C8" i="8"/>
  <c r="C9" i="8" s="1"/>
  <c r="C10" i="8" s="1"/>
  <c r="C6" i="8"/>
  <c r="E35" i="5"/>
  <c r="E36" i="5"/>
  <c r="E37" i="5"/>
  <c r="E38" i="5"/>
  <c r="E7" i="9" l="1"/>
  <c r="E6" i="9"/>
  <c r="E8" i="9" l="1"/>
  <c r="Q5" i="8"/>
  <c r="E9" i="9" l="1"/>
  <c r="Q6" i="8"/>
  <c r="E10" i="9" l="1"/>
  <c r="Q7" i="8"/>
  <c r="J13" i="5"/>
  <c r="E11" i="9" l="1"/>
  <c r="Q8" i="8"/>
  <c r="J12" i="5"/>
  <c r="E12" i="9" l="1"/>
  <c r="Q9" i="8"/>
  <c r="E13" i="9" l="1"/>
  <c r="Q10" i="8"/>
  <c r="Q5" i="5"/>
  <c r="E14" i="9" l="1"/>
  <c r="Q11" i="8"/>
  <c r="F25" i="5"/>
  <c r="E15" i="9" l="1"/>
  <c r="Q12" i="8"/>
  <c r="Q11" i="5"/>
  <c r="E16" i="9" l="1"/>
  <c r="Q13" i="8"/>
  <c r="K36" i="5"/>
  <c r="R36" i="5" s="1"/>
  <c r="K35" i="5"/>
  <c r="R35" i="5" s="1"/>
  <c r="K34" i="5"/>
  <c r="R34" i="5" s="1"/>
  <c r="K33" i="5"/>
  <c r="R33" i="5" s="1"/>
  <c r="K32" i="5"/>
  <c r="R32" i="5" s="1"/>
  <c r="K31" i="5"/>
  <c r="R31" i="5" s="1"/>
  <c r="K30" i="5"/>
  <c r="R30" i="5" s="1"/>
  <c r="C30" i="5"/>
  <c r="C31" i="5" s="1"/>
  <c r="C32" i="5" s="1"/>
  <c r="C33" i="5" s="1"/>
  <c r="C34" i="5" s="1"/>
  <c r="C35" i="5" s="1"/>
  <c r="C36" i="5" s="1"/>
  <c r="C37" i="5" s="1"/>
  <c r="C38" i="5" s="1"/>
  <c r="C39" i="5" s="1"/>
  <c r="C40" i="5" s="1"/>
  <c r="C41" i="5" s="1"/>
  <c r="C42" i="5" s="1"/>
  <c r="C43" i="5" s="1"/>
  <c r="C44" i="5" s="1"/>
  <c r="C29" i="5"/>
  <c r="C28" i="5"/>
  <c r="C27" i="5"/>
  <c r="Q22" i="5"/>
  <c r="J22" i="5"/>
  <c r="Q21" i="5"/>
  <c r="J21" i="5"/>
  <c r="Q20" i="5"/>
  <c r="J20" i="5"/>
  <c r="Q19" i="5"/>
  <c r="J19" i="5"/>
  <c r="Q18" i="5"/>
  <c r="J18" i="5"/>
  <c r="Q17" i="5"/>
  <c r="J17" i="5"/>
  <c r="Q16" i="5"/>
  <c r="J16" i="5"/>
  <c r="Q15" i="5"/>
  <c r="J15" i="5"/>
  <c r="J11" i="5"/>
  <c r="Q9" i="5"/>
  <c r="J9" i="5"/>
  <c r="Q8" i="5"/>
  <c r="J8" i="5"/>
  <c r="Q7" i="5"/>
  <c r="J7" i="5"/>
  <c r="Q6" i="5"/>
  <c r="J6" i="5"/>
  <c r="J5" i="5"/>
  <c r="R2" i="5"/>
  <c r="E17" i="9" l="1"/>
  <c r="Q14" i="8"/>
  <c r="I26" i="5"/>
  <c r="E18" i="9" l="1"/>
  <c r="Q15" i="8"/>
  <c r="E19" i="9" l="1"/>
  <c r="Q16" i="8"/>
  <c r="E20" i="9" l="1"/>
  <c r="Q17" i="8"/>
  <c r="E21" i="9" l="1"/>
  <c r="Q18" i="8"/>
  <c r="E22" i="9" l="1"/>
  <c r="Q19" i="8"/>
  <c r="E23" i="9" l="1"/>
  <c r="Q20" i="8"/>
  <c r="E24" i="9" l="1"/>
  <c r="Q21" i="8"/>
  <c r="E25" i="9" l="1"/>
  <c r="Q22" i="8"/>
  <c r="E26" i="9" l="1"/>
  <c r="Q23" i="8"/>
  <c r="E27" i="9" l="1"/>
  <c r="Q24" i="8"/>
  <c r="E28" i="9" l="1"/>
  <c r="Q25" i="8"/>
  <c r="E29" i="9" l="1"/>
  <c r="Q26" i="8"/>
  <c r="E30" i="9" l="1"/>
  <c r="Q27" i="8"/>
  <c r="E31" i="9" l="1"/>
  <c r="Q28" i="8"/>
  <c r="E32" i="9" l="1"/>
  <c r="Q29" i="8"/>
  <c r="E33" i="9" l="1"/>
  <c r="Q30" i="8"/>
  <c r="E34" i="9" l="1"/>
  <c r="Q31" i="8"/>
  <c r="E35" i="9" l="1"/>
  <c r="Q32" i="8"/>
  <c r="E36" i="9" l="1"/>
  <c r="Q33" i="8"/>
  <c r="E37" i="9" l="1"/>
  <c r="Q34" i="8"/>
  <c r="E38" i="9" l="1"/>
  <c r="Q35" i="8"/>
  <c r="E39" i="9" l="1"/>
  <c r="Q36" i="8"/>
  <c r="E40" i="9" l="1"/>
  <c r="Q37" i="8"/>
  <c r="E41" i="9" l="1"/>
  <c r="Q38" i="8"/>
  <c r="E42" i="9" l="1"/>
  <c r="Q39" i="8"/>
  <c r="E43" i="9" l="1"/>
  <c r="Q40" i="8"/>
  <c r="E44" i="9" l="1"/>
  <c r="Q41" i="8"/>
  <c r="E45" i="9" l="1"/>
  <c r="Q42" i="8"/>
  <c r="E46" i="9" l="1"/>
  <c r="Q43" i="8"/>
  <c r="E47" i="9" l="1"/>
  <c r="Q44" i="8"/>
  <c r="E48" i="9" l="1"/>
  <c r="Q45" i="8"/>
  <c r="E49" i="9" l="1"/>
  <c r="Q46" i="8"/>
  <c r="E50" i="9" l="1"/>
  <c r="Q47" i="8"/>
  <c r="E51" i="9" l="1"/>
  <c r="Q48" i="8"/>
  <c r="E52" i="9" l="1"/>
  <c r="Q49" i="8"/>
  <c r="E53" i="9" l="1"/>
  <c r="Q50" i="8"/>
  <c r="E54" i="9" l="1"/>
  <c r="Q51" i="8"/>
  <c r="E55" i="9" l="1"/>
  <c r="Q52" i="8"/>
  <c r="E56" i="9" l="1"/>
  <c r="Q53" i="8"/>
  <c r="E57" i="9" l="1"/>
  <c r="Q54" i="8"/>
  <c r="E58" i="9" l="1"/>
  <c r="Q55" i="8"/>
  <c r="E59" i="9" l="1"/>
  <c r="Q56" i="8"/>
  <c r="E60" i="9" l="1"/>
  <c r="Q57" i="8"/>
  <c r="E61" i="9" l="1"/>
  <c r="Q58" i="8"/>
  <c r="E62" i="9" l="1"/>
  <c r="Q59" i="8"/>
  <c r="E63" i="9" l="1"/>
  <c r="Q60" i="8"/>
  <c r="I4" i="9" l="1"/>
  <c r="Q61" i="8"/>
  <c r="I5" i="9" l="1"/>
  <c r="Q62" i="8"/>
  <c r="Q63" i="8"/>
  <c r="I6" i="9" l="1"/>
  <c r="I7" i="9" l="1"/>
  <c r="I8" i="9" l="1"/>
  <c r="I9" i="9" l="1"/>
  <c r="I10" i="9" l="1"/>
  <c r="I11" i="9" l="1"/>
  <c r="I12" i="9" l="1"/>
  <c r="I13" i="9" l="1"/>
  <c r="I14" i="9" l="1"/>
  <c r="I15" i="9" l="1"/>
  <c r="I16" i="9" l="1"/>
  <c r="I17" i="9" l="1"/>
  <c r="I18" i="9" l="1"/>
  <c r="I19" i="9" l="1"/>
  <c r="I20" i="9" l="1"/>
  <c r="I21" i="9" l="1"/>
  <c r="I22" i="9" l="1"/>
  <c r="I23" i="9" l="1"/>
  <c r="I24" i="9" l="1"/>
  <c r="I25" i="9" l="1"/>
  <c r="I26" i="9" l="1"/>
  <c r="I27" i="9" l="1"/>
  <c r="I28" i="9" l="1"/>
  <c r="I29" i="9" l="1"/>
  <c r="I30" i="9" l="1"/>
  <c r="I31" i="9" l="1"/>
  <c r="I32" i="9" l="1"/>
  <c r="I33" i="9" l="1"/>
  <c r="I34" i="9" l="1"/>
  <c r="I35" i="9" l="1"/>
  <c r="I36" i="9" l="1"/>
  <c r="I37" i="9" l="1"/>
  <c r="I38" i="9" l="1"/>
  <c r="I39" i="9" l="1"/>
  <c r="I40" i="9" l="1"/>
  <c r="I41" i="9" l="1"/>
  <c r="I42" i="9" l="1"/>
  <c r="I43" i="9" l="1"/>
  <c r="I44" i="9" l="1"/>
  <c r="I45" i="9" l="1"/>
  <c r="I46" i="9" l="1"/>
  <c r="I47" i="9" l="1"/>
  <c r="I48" i="9" l="1"/>
  <c r="I49" i="9" l="1"/>
  <c r="I50" i="9" l="1"/>
  <c r="I51" i="9" l="1"/>
  <c r="I52" i="9" l="1"/>
  <c r="I53" i="9" l="1"/>
  <c r="I54" i="9" l="1"/>
  <c r="I55" i="9" l="1"/>
  <c r="I56" i="9" l="1"/>
  <c r="I57" i="9" l="1"/>
  <c r="I58" i="9" l="1"/>
  <c r="I59" i="9" l="1"/>
  <c r="I60" i="9" l="1"/>
  <c r="I61" i="9" l="1"/>
  <c r="I62" i="9" l="1"/>
  <c r="I63" i="9" l="1"/>
  <c r="M4" i="9" l="1"/>
  <c r="M5" i="9" l="1"/>
  <c r="M6" i="9" l="1"/>
  <c r="M7" i="9" l="1"/>
  <c r="M8" i="9" l="1"/>
  <c r="M9" i="9" l="1"/>
  <c r="M10" i="9" l="1"/>
  <c r="M11" i="9" l="1"/>
  <c r="M12" i="9" l="1"/>
  <c r="M13" i="9" l="1"/>
  <c r="M14" i="9" l="1"/>
  <c r="M15" i="9" l="1"/>
  <c r="M16" i="9" l="1"/>
  <c r="M17" i="9" l="1"/>
  <c r="M18" i="9" l="1"/>
  <c r="M19" i="9" l="1"/>
  <c r="M20" i="9" l="1"/>
  <c r="M21" i="9" l="1"/>
  <c r="M22" i="9" l="1"/>
  <c r="M23" i="9" l="1"/>
  <c r="M24" i="9" l="1"/>
  <c r="M25" i="9" l="1"/>
  <c r="M26" i="9" l="1"/>
  <c r="M27" i="9" l="1"/>
  <c r="M28" i="9" l="1"/>
  <c r="M29" i="9" l="1"/>
  <c r="M30" i="9" l="1"/>
  <c r="M31" i="9" l="1"/>
  <c r="M32" i="9" l="1"/>
  <c r="M33" i="9" l="1"/>
  <c r="M34" i="9" l="1"/>
  <c r="M35" i="9" l="1"/>
  <c r="M36" i="9" l="1"/>
  <c r="M37" i="9" l="1"/>
  <c r="M38" i="9" l="1"/>
  <c r="M39" i="9" l="1"/>
  <c r="M40" i="9" l="1"/>
  <c r="M41" i="9" l="1"/>
  <c r="M42" i="9" l="1"/>
  <c r="M43" i="9" l="1"/>
  <c r="M44" i="9" l="1"/>
  <c r="M45" i="9" l="1"/>
  <c r="M46" i="9" l="1"/>
  <c r="M47" i="9" l="1"/>
  <c r="M48" i="9" l="1"/>
  <c r="M49" i="9" l="1"/>
  <c r="M50" i="9" l="1"/>
  <c r="M51" i="9" l="1"/>
  <c r="M52" i="9" l="1"/>
  <c r="M53" i="9" l="1"/>
  <c r="M54" i="9" l="1"/>
  <c r="M55" i="9" l="1"/>
  <c r="M56" i="9" l="1"/>
  <c r="M57" i="9" l="1"/>
  <c r="M58" i="9" l="1"/>
  <c r="M59" i="9" l="1"/>
  <c r="M60" i="9" l="1"/>
  <c r="M61" i="9" l="1"/>
  <c r="M62" i="9" l="1"/>
  <c r="M63" i="9" l="1"/>
  <c r="Q4" i="9" l="1"/>
  <c r="Q5" i="9" l="1"/>
  <c r="O7" i="9" l="1"/>
  <c r="Q6" i="9"/>
  <c r="O8" i="9" l="1"/>
  <c r="Q7" i="9"/>
  <c r="O9" i="9" l="1"/>
  <c r="Q8" i="9"/>
  <c r="O10" i="9" l="1"/>
  <c r="Q9" i="9"/>
  <c r="O11" i="9" l="1"/>
  <c r="Q10" i="9"/>
  <c r="O12" i="9" l="1"/>
  <c r="Q11" i="9"/>
  <c r="O13" i="9" l="1"/>
  <c r="Q12" i="9"/>
  <c r="O14" i="9" l="1"/>
  <c r="Q13" i="9"/>
  <c r="O15" i="9" l="1"/>
  <c r="Q14" i="9"/>
  <c r="Q15" i="9" l="1"/>
  <c r="O16" i="9"/>
  <c r="O17" i="9" l="1"/>
  <c r="Q16" i="9"/>
  <c r="O18" i="9" l="1"/>
  <c r="Q17" i="9"/>
  <c r="O19" i="9" l="1"/>
  <c r="Q18" i="9"/>
  <c r="O20" i="9" l="1"/>
  <c r="Q19" i="9"/>
  <c r="O21" i="9" l="1"/>
  <c r="Q20" i="9"/>
  <c r="O22" i="9" l="1"/>
  <c r="Q21" i="9"/>
  <c r="O23" i="9" l="1"/>
  <c r="Q22" i="9"/>
  <c r="O24" i="9" l="1"/>
  <c r="Q23" i="9"/>
  <c r="O25" i="9" l="1"/>
  <c r="Q24" i="9"/>
  <c r="O26" i="9" l="1"/>
  <c r="Q25" i="9"/>
  <c r="O27" i="9" l="1"/>
  <c r="Q26" i="9"/>
  <c r="Q27" i="9" l="1"/>
  <c r="O28" i="9"/>
  <c r="O29" i="9" l="1"/>
  <c r="Q28" i="9"/>
  <c r="O30" i="9" l="1"/>
  <c r="Q29" i="9"/>
  <c r="O31" i="9" l="1"/>
  <c r="Q30" i="9"/>
  <c r="O32" i="9" l="1"/>
  <c r="Q31" i="9"/>
  <c r="O33" i="9" l="1"/>
  <c r="Q32" i="9"/>
  <c r="O34" i="9" l="1"/>
  <c r="Q33" i="9"/>
  <c r="O35" i="9" l="1"/>
  <c r="Q34" i="9"/>
  <c r="O36" i="9" l="1"/>
  <c r="Q35" i="9"/>
  <c r="O37" i="9" l="1"/>
  <c r="Q36" i="9"/>
  <c r="O38" i="9" l="1"/>
  <c r="Q37" i="9"/>
  <c r="O39" i="9" l="1"/>
  <c r="Q38" i="9"/>
  <c r="Q39" i="9" l="1"/>
  <c r="O40" i="9"/>
  <c r="O41" i="9" l="1"/>
  <c r="Q40" i="9"/>
  <c r="O42" i="9" l="1"/>
  <c r="Q41" i="9"/>
  <c r="O43" i="9" l="1"/>
  <c r="Q42" i="9"/>
  <c r="O44" i="9" l="1"/>
  <c r="Q43" i="9"/>
  <c r="O45" i="9" l="1"/>
  <c r="Q44" i="9"/>
  <c r="O46" i="9" l="1"/>
  <c r="Q45" i="9"/>
  <c r="O47" i="9" l="1"/>
  <c r="Q46" i="9"/>
  <c r="O48" i="9" l="1"/>
  <c r="Q47" i="9"/>
  <c r="O49" i="9" l="1"/>
  <c r="Q48" i="9"/>
  <c r="O50" i="9" l="1"/>
  <c r="Q49" i="9"/>
  <c r="O51" i="9" l="1"/>
  <c r="Q50" i="9"/>
  <c r="Q51" i="9" l="1"/>
  <c r="O52" i="9"/>
  <c r="O53" i="9" l="1"/>
  <c r="Q52" i="9"/>
  <c r="O54" i="9" l="1"/>
  <c r="Q53" i="9"/>
  <c r="O55" i="9" l="1"/>
  <c r="Q54" i="9"/>
  <c r="O56" i="9" l="1"/>
  <c r="Q55" i="9"/>
  <c r="O57" i="9" l="1"/>
  <c r="Q56" i="9"/>
  <c r="O58" i="9" l="1"/>
  <c r="Q57" i="9"/>
  <c r="O59" i="9" l="1"/>
  <c r="Q58" i="9"/>
  <c r="O60" i="9" l="1"/>
  <c r="Q59" i="9"/>
  <c r="O61" i="9" l="1"/>
  <c r="Q60" i="9"/>
  <c r="O62" i="9" l="1"/>
  <c r="Q61" i="9"/>
  <c r="O63" i="9" l="1"/>
  <c r="Q62" i="9"/>
  <c r="Q63" i="9" l="1"/>
  <c r="O64" i="9"/>
  <c r="Q64" i="9" s="1"/>
</calcChain>
</file>

<file path=xl/comments1.xml><?xml version="1.0" encoding="utf-8"?>
<comments xmlns="http://schemas.openxmlformats.org/spreadsheetml/2006/main">
  <authors>
    <author>総務部</author>
  </authors>
  <commentList>
    <comment ref="I7" authorId="0">
      <text>
        <r>
          <rPr>
            <b/>
            <sz val="9"/>
            <color indexed="81"/>
            <rFont val="ＭＳ Ｐゴシック"/>
            <family val="3"/>
            <charset val="128"/>
          </rPr>
          <t>総務部:</t>
        </r>
        <r>
          <rPr>
            <sz val="9"/>
            <color indexed="81"/>
            <rFont val="ＭＳ Ｐゴシック"/>
            <family val="3"/>
            <charset val="128"/>
          </rPr>
          <t xml:space="preserve">
自己都合退職時の累計積立額。</t>
        </r>
      </text>
    </comment>
    <comment ref="J7" authorId="0">
      <text>
        <r>
          <rPr>
            <b/>
            <sz val="9"/>
            <color indexed="81"/>
            <rFont val="ＭＳ Ｐゴシック"/>
            <family val="3"/>
            <charset val="128"/>
          </rPr>
          <t>総務部:</t>
        </r>
        <r>
          <rPr>
            <sz val="9"/>
            <color indexed="81"/>
            <rFont val="ＭＳ Ｐゴシック"/>
            <family val="3"/>
            <charset val="128"/>
          </rPr>
          <t xml:space="preserve">
特別加算180,000円加算し支給とした。</t>
        </r>
      </text>
    </comment>
    <comment ref="L7" authorId="0">
      <text>
        <r>
          <rPr>
            <b/>
            <sz val="9"/>
            <color indexed="81"/>
            <rFont val="ＭＳ Ｐゴシック"/>
            <family val="3"/>
            <charset val="128"/>
          </rPr>
          <t>総務部:</t>
        </r>
        <r>
          <rPr>
            <sz val="9"/>
            <color indexed="81"/>
            <rFont val="ＭＳ Ｐゴシック"/>
            <family val="3"/>
            <charset val="128"/>
          </rPr>
          <t xml:space="preserve">
自己都合退職時の通算積立期間。</t>
        </r>
      </text>
    </comment>
    <comment ref="I11" authorId="0">
      <text>
        <r>
          <rPr>
            <b/>
            <sz val="9"/>
            <color indexed="81"/>
            <rFont val="ＭＳ Ｐゴシック"/>
            <family val="3"/>
            <charset val="128"/>
          </rPr>
          <t>総務部:</t>
        </r>
        <r>
          <rPr>
            <sz val="9"/>
            <color indexed="81"/>
            <rFont val="ＭＳ Ｐゴシック"/>
            <family val="3"/>
            <charset val="128"/>
          </rPr>
          <t xml:space="preserve">
定年到達時の累計積立額。</t>
        </r>
      </text>
    </comment>
    <comment ref="L11" authorId="0">
      <text>
        <r>
          <rPr>
            <b/>
            <sz val="9"/>
            <color indexed="81"/>
            <rFont val="ＭＳ Ｐゴシック"/>
            <family val="3"/>
            <charset val="128"/>
          </rPr>
          <t>総務部:</t>
        </r>
        <r>
          <rPr>
            <sz val="9"/>
            <color indexed="81"/>
            <rFont val="ＭＳ Ｐゴシック"/>
            <family val="3"/>
            <charset val="128"/>
          </rPr>
          <t xml:space="preserve">
定年到達時の通算積立期間。
</t>
        </r>
      </text>
    </comment>
    <comment ref="I14" authorId="0">
      <text>
        <r>
          <rPr>
            <b/>
            <sz val="9"/>
            <color indexed="81"/>
            <rFont val="ＭＳ Ｐゴシック"/>
            <family val="3"/>
            <charset val="128"/>
          </rPr>
          <t>総務部:</t>
        </r>
        <r>
          <rPr>
            <sz val="9"/>
            <color indexed="81"/>
            <rFont val="ＭＳ Ｐゴシック"/>
            <family val="3"/>
            <charset val="128"/>
          </rPr>
          <t xml:space="preserve">
定年到達時の累計積立額。</t>
        </r>
      </text>
    </comment>
    <comment ref="L14" authorId="0">
      <text>
        <r>
          <rPr>
            <b/>
            <sz val="9"/>
            <color indexed="81"/>
            <rFont val="ＭＳ Ｐゴシック"/>
            <family val="3"/>
            <charset val="128"/>
          </rPr>
          <t>総務部:</t>
        </r>
        <r>
          <rPr>
            <sz val="9"/>
            <color indexed="81"/>
            <rFont val="ＭＳ Ｐゴシック"/>
            <family val="3"/>
            <charset val="128"/>
          </rPr>
          <t xml:space="preserve">
定年到達時の通算積立期間。</t>
        </r>
      </text>
    </comment>
    <comment ref="I20" authorId="0">
      <text>
        <r>
          <rPr>
            <b/>
            <sz val="9"/>
            <color indexed="81"/>
            <rFont val="ＭＳ Ｐゴシック"/>
            <family val="3"/>
            <charset val="128"/>
          </rPr>
          <t>総務部:</t>
        </r>
        <r>
          <rPr>
            <sz val="9"/>
            <color indexed="81"/>
            <rFont val="ＭＳ Ｐゴシック"/>
            <family val="3"/>
            <charset val="128"/>
          </rPr>
          <t xml:space="preserve">
自己都合退職時の累計積立額。</t>
        </r>
      </text>
    </comment>
    <comment ref="L20" authorId="0">
      <text>
        <r>
          <rPr>
            <b/>
            <sz val="9"/>
            <color indexed="81"/>
            <rFont val="ＭＳ Ｐゴシック"/>
            <family val="3"/>
            <charset val="128"/>
          </rPr>
          <t>総務部:</t>
        </r>
        <r>
          <rPr>
            <sz val="9"/>
            <color indexed="81"/>
            <rFont val="ＭＳ Ｐゴシック"/>
            <family val="3"/>
            <charset val="128"/>
          </rPr>
          <t xml:space="preserve">
自己都合退職時の通算積立期間。</t>
        </r>
      </text>
    </comment>
    <comment ref="I23" authorId="0">
      <text>
        <r>
          <rPr>
            <b/>
            <sz val="9"/>
            <color indexed="81"/>
            <rFont val="ＭＳ Ｐゴシック"/>
            <family val="3"/>
            <charset val="128"/>
          </rPr>
          <t>総務部:</t>
        </r>
        <r>
          <rPr>
            <sz val="9"/>
            <color indexed="81"/>
            <rFont val="ＭＳ Ｐゴシック"/>
            <family val="3"/>
            <charset val="128"/>
          </rPr>
          <t xml:space="preserve">
試用期間満了退職時の通算積立期間。</t>
        </r>
      </text>
    </comment>
    <comment ref="L23" authorId="0">
      <text>
        <r>
          <rPr>
            <b/>
            <sz val="9"/>
            <color indexed="81"/>
            <rFont val="ＭＳ Ｐゴシック"/>
            <family val="3"/>
            <charset val="128"/>
          </rPr>
          <t>総務部:</t>
        </r>
        <r>
          <rPr>
            <sz val="9"/>
            <color indexed="81"/>
            <rFont val="ＭＳ Ｐゴシック"/>
            <family val="3"/>
            <charset val="128"/>
          </rPr>
          <t xml:space="preserve">
試用期間満了退職時の通算積立期間。</t>
        </r>
      </text>
    </comment>
  </commentList>
</comments>
</file>

<file path=xl/comments2.xml><?xml version="1.0" encoding="utf-8"?>
<comments xmlns="http://schemas.openxmlformats.org/spreadsheetml/2006/main">
  <authors>
    <author>総務部</author>
  </authors>
  <commentList>
    <comment ref="I11" authorId="0">
      <text>
        <r>
          <rPr>
            <b/>
            <sz val="9"/>
            <color indexed="81"/>
            <rFont val="ＭＳ Ｐゴシック"/>
            <family val="3"/>
            <charset val="128"/>
          </rPr>
          <t>総務部:</t>
        </r>
        <r>
          <rPr>
            <sz val="9"/>
            <color indexed="81"/>
            <rFont val="ＭＳ Ｐゴシック"/>
            <family val="3"/>
            <charset val="128"/>
          </rPr>
          <t xml:space="preserve">
定年到達時の累計積立額。</t>
        </r>
      </text>
    </comment>
    <comment ref="L11" authorId="0">
      <text>
        <r>
          <rPr>
            <b/>
            <sz val="9"/>
            <color indexed="81"/>
            <rFont val="ＭＳ Ｐゴシック"/>
            <family val="3"/>
            <charset val="128"/>
          </rPr>
          <t>総務部:</t>
        </r>
        <r>
          <rPr>
            <sz val="9"/>
            <color indexed="81"/>
            <rFont val="ＭＳ Ｐゴシック"/>
            <family val="3"/>
            <charset val="128"/>
          </rPr>
          <t xml:space="preserve">
定年到達時の通算積立期間。</t>
        </r>
      </text>
    </comment>
  </commentList>
</comments>
</file>

<file path=xl/comments3.xml><?xml version="1.0" encoding="utf-8"?>
<comments xmlns="http://schemas.openxmlformats.org/spreadsheetml/2006/main">
  <authors>
    <author>総務部</author>
  </authors>
  <commentList>
    <comment ref="AO3" authorId="0">
      <text>
        <r>
          <rPr>
            <b/>
            <sz val="9"/>
            <color indexed="81"/>
            <rFont val="ＭＳ Ｐゴシック"/>
            <family val="3"/>
            <charset val="128"/>
          </rPr>
          <t>総務部:</t>
        </r>
        <r>
          <rPr>
            <sz val="9"/>
            <color indexed="81"/>
            <rFont val="ＭＳ Ｐゴシック"/>
            <family val="3"/>
            <charset val="128"/>
          </rPr>
          <t xml:space="preserve">
積立額のみの伸び額</t>
        </r>
      </text>
    </comment>
    <comment ref="AP3" authorId="0">
      <text>
        <r>
          <rPr>
            <b/>
            <sz val="9"/>
            <color indexed="81"/>
            <rFont val="ＭＳ Ｐゴシック"/>
            <family val="3"/>
            <charset val="128"/>
          </rPr>
          <t>総務部:</t>
        </r>
        <r>
          <rPr>
            <sz val="9"/>
            <color indexed="81"/>
            <rFont val="ＭＳ Ｐゴシック"/>
            <family val="3"/>
            <charset val="128"/>
          </rPr>
          <t xml:space="preserve">
積立額に各人の積立期間に応じた支給率を乗じた額の伸び対比。</t>
        </r>
      </text>
    </comment>
    <comment ref="I7" authorId="0">
      <text>
        <r>
          <rPr>
            <b/>
            <sz val="9"/>
            <color indexed="81"/>
            <rFont val="ＭＳ Ｐゴシック"/>
            <family val="3"/>
            <charset val="128"/>
          </rPr>
          <t>総務部:</t>
        </r>
        <r>
          <rPr>
            <sz val="9"/>
            <color indexed="81"/>
            <rFont val="ＭＳ Ｐゴシック"/>
            <family val="3"/>
            <charset val="128"/>
          </rPr>
          <t xml:space="preserve">
自己都合退職時の累計積立額。</t>
        </r>
      </text>
    </comment>
    <comment ref="J7" authorId="0">
      <text>
        <r>
          <rPr>
            <b/>
            <sz val="9"/>
            <color indexed="81"/>
            <rFont val="ＭＳ Ｐゴシック"/>
            <family val="3"/>
            <charset val="128"/>
          </rPr>
          <t>総務部:</t>
        </r>
        <r>
          <rPr>
            <sz val="9"/>
            <color indexed="81"/>
            <rFont val="ＭＳ Ｐゴシック"/>
            <family val="3"/>
            <charset val="128"/>
          </rPr>
          <t xml:space="preserve">
特別加算180,000円加算し支給とした。</t>
        </r>
      </text>
    </comment>
    <comment ref="L7" authorId="0">
      <text>
        <r>
          <rPr>
            <b/>
            <sz val="9"/>
            <color indexed="81"/>
            <rFont val="ＭＳ Ｐゴシック"/>
            <family val="3"/>
            <charset val="128"/>
          </rPr>
          <t>総務部:</t>
        </r>
        <r>
          <rPr>
            <sz val="9"/>
            <color indexed="81"/>
            <rFont val="ＭＳ Ｐゴシック"/>
            <family val="3"/>
            <charset val="128"/>
          </rPr>
          <t xml:space="preserve">
自己都合退職時の通算積立期間。</t>
        </r>
      </text>
    </comment>
    <comment ref="I11" authorId="0">
      <text>
        <r>
          <rPr>
            <b/>
            <sz val="9"/>
            <color indexed="81"/>
            <rFont val="ＭＳ Ｐゴシック"/>
            <family val="3"/>
            <charset val="128"/>
          </rPr>
          <t>総務部:</t>
        </r>
        <r>
          <rPr>
            <sz val="9"/>
            <color indexed="81"/>
            <rFont val="ＭＳ Ｐゴシック"/>
            <family val="3"/>
            <charset val="128"/>
          </rPr>
          <t xml:space="preserve">
定年到達時の累計積立額。</t>
        </r>
      </text>
    </comment>
    <comment ref="L11" authorId="0">
      <text>
        <r>
          <rPr>
            <b/>
            <sz val="9"/>
            <color indexed="81"/>
            <rFont val="ＭＳ Ｐゴシック"/>
            <family val="3"/>
            <charset val="128"/>
          </rPr>
          <t>総務部:</t>
        </r>
        <r>
          <rPr>
            <sz val="9"/>
            <color indexed="81"/>
            <rFont val="ＭＳ Ｐゴシック"/>
            <family val="3"/>
            <charset val="128"/>
          </rPr>
          <t xml:space="preserve">
定年到達時の通算積立期間。
</t>
        </r>
      </text>
    </comment>
    <comment ref="AC13" authorId="0">
      <text>
        <r>
          <rPr>
            <b/>
            <sz val="9"/>
            <color indexed="81"/>
            <rFont val="ＭＳ Ｐゴシック"/>
            <family val="3"/>
            <charset val="128"/>
          </rPr>
          <t>総務部:</t>
        </r>
        <r>
          <rPr>
            <sz val="9"/>
            <color indexed="81"/>
            <rFont val="ＭＳ Ｐゴシック"/>
            <family val="3"/>
            <charset val="128"/>
          </rPr>
          <t xml:space="preserve">
定年到達時の累計積立額。</t>
        </r>
      </text>
    </comment>
    <comment ref="AF13" authorId="0">
      <text>
        <r>
          <rPr>
            <b/>
            <sz val="9"/>
            <color indexed="81"/>
            <rFont val="ＭＳ Ｐゴシック"/>
            <family val="3"/>
            <charset val="128"/>
          </rPr>
          <t>総務部:</t>
        </r>
        <r>
          <rPr>
            <sz val="9"/>
            <color indexed="81"/>
            <rFont val="ＭＳ Ｐゴシック"/>
            <family val="3"/>
            <charset val="128"/>
          </rPr>
          <t xml:space="preserve">
定年到達時の通算積立期間。</t>
        </r>
      </text>
    </comment>
    <comment ref="I14" authorId="0">
      <text>
        <r>
          <rPr>
            <b/>
            <sz val="9"/>
            <color indexed="81"/>
            <rFont val="ＭＳ Ｐゴシック"/>
            <family val="3"/>
            <charset val="128"/>
          </rPr>
          <t>総務部:</t>
        </r>
        <r>
          <rPr>
            <sz val="9"/>
            <color indexed="81"/>
            <rFont val="ＭＳ Ｐゴシック"/>
            <family val="3"/>
            <charset val="128"/>
          </rPr>
          <t xml:space="preserve">
定年到達時の累計積立額。</t>
        </r>
      </text>
    </comment>
    <comment ref="L14" authorId="0">
      <text>
        <r>
          <rPr>
            <b/>
            <sz val="9"/>
            <color indexed="81"/>
            <rFont val="ＭＳ Ｐゴシック"/>
            <family val="3"/>
            <charset val="128"/>
          </rPr>
          <t>総務部:</t>
        </r>
        <r>
          <rPr>
            <sz val="9"/>
            <color indexed="81"/>
            <rFont val="ＭＳ Ｐゴシック"/>
            <family val="3"/>
            <charset val="128"/>
          </rPr>
          <t xml:space="preserve">
定年到達時の通算積立期間。</t>
        </r>
      </text>
    </comment>
    <comment ref="I20" authorId="0">
      <text>
        <r>
          <rPr>
            <b/>
            <sz val="9"/>
            <color indexed="81"/>
            <rFont val="ＭＳ Ｐゴシック"/>
            <family val="3"/>
            <charset val="128"/>
          </rPr>
          <t>総務部:</t>
        </r>
        <r>
          <rPr>
            <sz val="9"/>
            <color indexed="81"/>
            <rFont val="ＭＳ Ｐゴシック"/>
            <family val="3"/>
            <charset val="128"/>
          </rPr>
          <t xml:space="preserve">
自己都合退職時の累計積立額。</t>
        </r>
      </text>
    </comment>
    <comment ref="L20" authorId="0">
      <text>
        <r>
          <rPr>
            <b/>
            <sz val="9"/>
            <color indexed="81"/>
            <rFont val="ＭＳ Ｐゴシック"/>
            <family val="3"/>
            <charset val="128"/>
          </rPr>
          <t>総務部:</t>
        </r>
        <r>
          <rPr>
            <sz val="9"/>
            <color indexed="81"/>
            <rFont val="ＭＳ Ｐゴシック"/>
            <family val="3"/>
            <charset val="128"/>
          </rPr>
          <t xml:space="preserve">
自己都合退職時の通算積立期間。</t>
        </r>
      </text>
    </comment>
    <comment ref="I23" authorId="0">
      <text>
        <r>
          <rPr>
            <b/>
            <sz val="9"/>
            <color indexed="81"/>
            <rFont val="ＭＳ Ｐゴシック"/>
            <family val="3"/>
            <charset val="128"/>
          </rPr>
          <t>総務部:</t>
        </r>
        <r>
          <rPr>
            <sz val="9"/>
            <color indexed="81"/>
            <rFont val="ＭＳ Ｐゴシック"/>
            <family val="3"/>
            <charset val="128"/>
          </rPr>
          <t xml:space="preserve">
試用期間満了退職時の通算積立期間。</t>
        </r>
      </text>
    </comment>
    <comment ref="L23" authorId="0">
      <text>
        <r>
          <rPr>
            <b/>
            <sz val="9"/>
            <color indexed="81"/>
            <rFont val="ＭＳ Ｐゴシック"/>
            <family val="3"/>
            <charset val="128"/>
          </rPr>
          <t>総務部:</t>
        </r>
        <r>
          <rPr>
            <sz val="9"/>
            <color indexed="81"/>
            <rFont val="ＭＳ Ｐゴシック"/>
            <family val="3"/>
            <charset val="128"/>
          </rPr>
          <t xml:space="preserve">
試用期間満了退職時の通算積立期間。</t>
        </r>
      </text>
    </comment>
  </commentList>
</comments>
</file>

<file path=xl/sharedStrings.xml><?xml version="1.0" encoding="utf-8"?>
<sst xmlns="http://schemas.openxmlformats.org/spreadsheetml/2006/main" count="1397" uniqueCount="625">
  <si>
    <t>氏　　名</t>
    <rPh sb="0" eb="1">
      <t>シ</t>
    </rPh>
    <rPh sb="3" eb="4">
      <t>ナ</t>
    </rPh>
    <phoneticPr fontId="2"/>
  </si>
  <si>
    <t>月額</t>
    <rPh sb="0" eb="2">
      <t>ゲツガク</t>
    </rPh>
    <phoneticPr fontId="2"/>
  </si>
  <si>
    <t>さぽーとさっぽろ退職金</t>
    <rPh sb="8" eb="11">
      <t>タイショクキン</t>
    </rPh>
    <phoneticPr fontId="2"/>
  </si>
  <si>
    <t>解約時積立</t>
    <rPh sb="0" eb="2">
      <t>カイヤク</t>
    </rPh>
    <rPh sb="2" eb="3">
      <t>ジ</t>
    </rPh>
    <rPh sb="3" eb="5">
      <t>ツミタテ</t>
    </rPh>
    <phoneticPr fontId="2"/>
  </si>
  <si>
    <t>解約時</t>
    <rPh sb="0" eb="2">
      <t>カイヤク</t>
    </rPh>
    <rPh sb="2" eb="3">
      <t>ジ</t>
    </rPh>
    <phoneticPr fontId="2"/>
  </si>
  <si>
    <t>さぽーとさっぽろ解約時</t>
    <rPh sb="8" eb="10">
      <t>カイヤク</t>
    </rPh>
    <rPh sb="10" eb="11">
      <t>ジ</t>
    </rPh>
    <phoneticPr fontId="2"/>
  </si>
  <si>
    <t>支給率</t>
    <rPh sb="0" eb="3">
      <t>シキュウリツ</t>
    </rPh>
    <phoneticPr fontId="2"/>
  </si>
  <si>
    <t>備　考</t>
    <rPh sb="0" eb="1">
      <t>ソナエ</t>
    </rPh>
    <rPh sb="2" eb="3">
      <t>コウ</t>
    </rPh>
    <phoneticPr fontId="2"/>
  </si>
  <si>
    <t>積立額</t>
    <rPh sb="0" eb="2">
      <t>ツミタテ</t>
    </rPh>
    <rPh sb="2" eb="3">
      <t>ガク</t>
    </rPh>
    <phoneticPr fontId="2"/>
  </si>
  <si>
    <t>加入年月日</t>
    <rPh sb="0" eb="2">
      <t>カニュウ</t>
    </rPh>
    <rPh sb="2" eb="5">
      <t>ネンガッピ</t>
    </rPh>
    <phoneticPr fontId="2"/>
  </si>
  <si>
    <t>通算見合額</t>
    <rPh sb="0" eb="2">
      <t>ツウサン</t>
    </rPh>
    <rPh sb="2" eb="4">
      <t>ミアイ</t>
    </rPh>
    <rPh sb="4" eb="5">
      <t>ガク</t>
    </rPh>
    <phoneticPr fontId="2"/>
  </si>
  <si>
    <t>既支払額</t>
    <rPh sb="0" eb="1">
      <t>スデ</t>
    </rPh>
    <rPh sb="1" eb="3">
      <t>シハライ</t>
    </rPh>
    <rPh sb="3" eb="4">
      <t>ガク</t>
    </rPh>
    <phoneticPr fontId="2"/>
  </si>
  <si>
    <t>解約年月日</t>
    <rPh sb="0" eb="2">
      <t>カイヤク</t>
    </rPh>
    <rPh sb="2" eb="5">
      <t>ネンガッピ</t>
    </rPh>
    <phoneticPr fontId="2"/>
  </si>
  <si>
    <t>通算積立期間</t>
    <rPh sb="0" eb="2">
      <t>ツウサン</t>
    </rPh>
    <rPh sb="2" eb="4">
      <t>ツミタテ</t>
    </rPh>
    <rPh sb="4" eb="6">
      <t>キカン</t>
    </rPh>
    <phoneticPr fontId="2"/>
  </si>
  <si>
    <t>支払想定額</t>
    <rPh sb="0" eb="2">
      <t>シハライ</t>
    </rPh>
    <rPh sb="2" eb="4">
      <t>ソウテイ</t>
    </rPh>
    <rPh sb="4" eb="5">
      <t>ガク</t>
    </rPh>
    <phoneticPr fontId="2"/>
  </si>
  <si>
    <t>1年6ヶ月</t>
    <rPh sb="1" eb="2">
      <t>ネン</t>
    </rPh>
    <rPh sb="4" eb="5">
      <t>ゲツ</t>
    </rPh>
    <phoneticPr fontId="2"/>
  </si>
  <si>
    <t>1年9ヶ月</t>
    <rPh sb="1" eb="2">
      <t>ネン</t>
    </rPh>
    <rPh sb="4" eb="5">
      <t>ゲツ</t>
    </rPh>
    <phoneticPr fontId="2"/>
  </si>
  <si>
    <t>燃料部</t>
    <rPh sb="0" eb="2">
      <t>ネンリョウ</t>
    </rPh>
    <rPh sb="2" eb="3">
      <t>ブ</t>
    </rPh>
    <phoneticPr fontId="2"/>
  </si>
  <si>
    <t>2年4ヶ月</t>
    <rPh sb="1" eb="2">
      <t>ネン</t>
    </rPh>
    <rPh sb="4" eb="5">
      <t>ゲツ</t>
    </rPh>
    <phoneticPr fontId="2"/>
  </si>
  <si>
    <t>2年7ヶ月</t>
    <rPh sb="1" eb="2">
      <t>ネン</t>
    </rPh>
    <rPh sb="4" eb="5">
      <t>ゲツ</t>
    </rPh>
    <phoneticPr fontId="2"/>
  </si>
  <si>
    <t>函館支店</t>
    <rPh sb="0" eb="2">
      <t>ハコダテ</t>
    </rPh>
    <rPh sb="2" eb="4">
      <t>シテン</t>
    </rPh>
    <phoneticPr fontId="2"/>
  </si>
  <si>
    <t>1年5ヶ月</t>
    <rPh sb="1" eb="2">
      <t>ネン</t>
    </rPh>
    <rPh sb="4" eb="5">
      <t>ゲツ</t>
    </rPh>
    <phoneticPr fontId="2"/>
  </si>
  <si>
    <t>1年8ヶ月</t>
    <rPh sb="1" eb="2">
      <t>ネン</t>
    </rPh>
    <rPh sb="4" eb="5">
      <t>ゲツ</t>
    </rPh>
    <phoneticPr fontId="2"/>
  </si>
  <si>
    <t>倶知安福光営業所</t>
    <rPh sb="0" eb="3">
      <t>クッチャン</t>
    </rPh>
    <rPh sb="3" eb="5">
      <t>フクミツ</t>
    </rPh>
    <rPh sb="5" eb="8">
      <t>エイギョウショ</t>
    </rPh>
    <phoneticPr fontId="2"/>
  </si>
  <si>
    <t>2年10ヶ月</t>
    <rPh sb="1" eb="2">
      <t>ネン</t>
    </rPh>
    <rPh sb="5" eb="6">
      <t>ゲツ</t>
    </rPh>
    <phoneticPr fontId="2"/>
  </si>
  <si>
    <t>倉庫部石狩倉庫課</t>
    <rPh sb="0" eb="2">
      <t>ソウコ</t>
    </rPh>
    <rPh sb="2" eb="3">
      <t>ブ</t>
    </rPh>
    <rPh sb="3" eb="5">
      <t>イシカリ</t>
    </rPh>
    <rPh sb="5" eb="7">
      <t>ソウコ</t>
    </rPh>
    <rPh sb="7" eb="8">
      <t>カ</t>
    </rPh>
    <phoneticPr fontId="2"/>
  </si>
  <si>
    <t>3ヶ月</t>
    <rPh sb="2" eb="3">
      <t>ゲツ</t>
    </rPh>
    <phoneticPr fontId="2"/>
  </si>
  <si>
    <t>6ヶ月</t>
    <rPh sb="2" eb="3">
      <t>ゲツ</t>
    </rPh>
    <phoneticPr fontId="2"/>
  </si>
  <si>
    <t>-</t>
    <phoneticPr fontId="2"/>
  </si>
  <si>
    <t>月額掛金見合額</t>
    <rPh sb="0" eb="2">
      <t>ゲツガク</t>
    </rPh>
    <rPh sb="2" eb="3">
      <t>カ</t>
    </rPh>
    <rPh sb="3" eb="4">
      <t>キン</t>
    </rPh>
    <rPh sb="4" eb="6">
      <t>ミアイ</t>
    </rPh>
    <rPh sb="6" eb="7">
      <t>ガク</t>
    </rPh>
    <phoneticPr fontId="2"/>
  </si>
  <si>
    <t>１，４００円</t>
    <rPh sb="5" eb="6">
      <t>エン</t>
    </rPh>
    <phoneticPr fontId="2"/>
  </si>
  <si>
    <t>0年1ヶ月～4年11ヶ月</t>
    <rPh sb="1" eb="2">
      <t>ネン</t>
    </rPh>
    <rPh sb="4" eb="5">
      <t>ゲツ</t>
    </rPh>
    <rPh sb="7" eb="8">
      <t>ネン</t>
    </rPh>
    <rPh sb="11" eb="12">
      <t>ゲツ</t>
    </rPh>
    <phoneticPr fontId="2"/>
  </si>
  <si>
    <t>２，４００円</t>
    <rPh sb="5" eb="6">
      <t>エン</t>
    </rPh>
    <phoneticPr fontId="2"/>
  </si>
  <si>
    <t>5年0ヶ月～7年11ヶ月</t>
    <rPh sb="1" eb="2">
      <t>ネン</t>
    </rPh>
    <rPh sb="4" eb="5">
      <t>ゲツ</t>
    </rPh>
    <rPh sb="7" eb="8">
      <t>ネン</t>
    </rPh>
    <rPh sb="11" eb="12">
      <t>ゲツ</t>
    </rPh>
    <phoneticPr fontId="2"/>
  </si>
  <si>
    <t>３，４００円</t>
    <rPh sb="5" eb="6">
      <t>エン</t>
    </rPh>
    <phoneticPr fontId="2"/>
  </si>
  <si>
    <t>8年0ヶ月～9年11ヶ月</t>
    <rPh sb="1" eb="2">
      <t>ネン</t>
    </rPh>
    <rPh sb="4" eb="5">
      <t>ゲツ</t>
    </rPh>
    <rPh sb="7" eb="8">
      <t>ネン</t>
    </rPh>
    <rPh sb="11" eb="12">
      <t>ゲツ</t>
    </rPh>
    <phoneticPr fontId="2"/>
  </si>
  <si>
    <t>４，４００円</t>
    <rPh sb="5" eb="6">
      <t>エン</t>
    </rPh>
    <phoneticPr fontId="2"/>
  </si>
  <si>
    <t>10年0ヶ月～</t>
    <rPh sb="2" eb="3">
      <t>ネン</t>
    </rPh>
    <rPh sb="5" eb="6">
      <t>ゲツ</t>
    </rPh>
    <phoneticPr fontId="2"/>
  </si>
  <si>
    <t>六渡</t>
    <rPh sb="0" eb="2">
      <t>ロクワタリ</t>
    </rPh>
    <phoneticPr fontId="2"/>
  </si>
  <si>
    <t>高森</t>
    <rPh sb="0" eb="2">
      <t>タカモリ</t>
    </rPh>
    <phoneticPr fontId="2"/>
  </si>
  <si>
    <t>坂口</t>
    <rPh sb="0" eb="2">
      <t>サカグチ</t>
    </rPh>
    <phoneticPr fontId="2"/>
  </si>
  <si>
    <t>三上</t>
    <rPh sb="0" eb="2">
      <t>ミカミ</t>
    </rPh>
    <phoneticPr fontId="2"/>
  </si>
  <si>
    <t>奥井</t>
    <rPh sb="0" eb="2">
      <t>オクイ</t>
    </rPh>
    <phoneticPr fontId="2"/>
  </si>
  <si>
    <t>竹井</t>
    <rPh sb="0" eb="2">
      <t>タケイ</t>
    </rPh>
    <phoneticPr fontId="2"/>
  </si>
  <si>
    <t>佐々木</t>
    <rPh sb="0" eb="3">
      <t>ササキ</t>
    </rPh>
    <phoneticPr fontId="2"/>
  </si>
  <si>
    <t>2年9ヶ月</t>
    <rPh sb="1" eb="2">
      <t>ネン</t>
    </rPh>
    <rPh sb="4" eb="5">
      <t>ゲツ</t>
    </rPh>
    <phoneticPr fontId="2"/>
  </si>
  <si>
    <t>2年8ヶ月</t>
    <rPh sb="1" eb="2">
      <t>ネン</t>
    </rPh>
    <rPh sb="4" eb="5">
      <t>ゲツ</t>
    </rPh>
    <phoneticPr fontId="2"/>
  </si>
  <si>
    <t>小樽支店</t>
    <rPh sb="0" eb="2">
      <t>オタル</t>
    </rPh>
    <rPh sb="2" eb="4">
      <t>シテン</t>
    </rPh>
    <phoneticPr fontId="2"/>
  </si>
  <si>
    <t>福井砕石所</t>
    <rPh sb="0" eb="2">
      <t>フクイ</t>
    </rPh>
    <rPh sb="2" eb="4">
      <t>サイセキ</t>
    </rPh>
    <rPh sb="4" eb="5">
      <t>ショ</t>
    </rPh>
    <phoneticPr fontId="2"/>
  </si>
  <si>
    <t>9年10ヶ月</t>
    <rPh sb="1" eb="2">
      <t>ネン</t>
    </rPh>
    <rPh sb="5" eb="6">
      <t>ゲツ</t>
    </rPh>
    <phoneticPr fontId="2"/>
  </si>
  <si>
    <t>8年10ヶ月</t>
    <rPh sb="1" eb="2">
      <t>ネン</t>
    </rPh>
    <rPh sb="5" eb="6">
      <t>ゲツ</t>
    </rPh>
    <phoneticPr fontId="2"/>
  </si>
  <si>
    <t>1年10ヶ月</t>
    <rPh sb="1" eb="2">
      <t>ネン</t>
    </rPh>
    <rPh sb="5" eb="6">
      <t>ゲツ</t>
    </rPh>
    <phoneticPr fontId="2"/>
  </si>
  <si>
    <t>6年0ヶ月</t>
    <rPh sb="1" eb="2">
      <t>ネン</t>
    </rPh>
    <rPh sb="4" eb="5">
      <t>ゲツ</t>
    </rPh>
    <phoneticPr fontId="2"/>
  </si>
  <si>
    <t>1年0ヶ月</t>
    <rPh sb="1" eb="2">
      <t>ネン</t>
    </rPh>
    <rPh sb="4" eb="5">
      <t>ゲツ</t>
    </rPh>
    <phoneticPr fontId="2"/>
  </si>
  <si>
    <t>中嶋</t>
    <rPh sb="0" eb="2">
      <t>ナカジマ</t>
    </rPh>
    <phoneticPr fontId="2"/>
  </si>
  <si>
    <t>川村</t>
    <rPh sb="0" eb="2">
      <t>カワムラ</t>
    </rPh>
    <phoneticPr fontId="2"/>
  </si>
  <si>
    <t>真坂</t>
    <rPh sb="0" eb="2">
      <t>マサカ</t>
    </rPh>
    <phoneticPr fontId="2"/>
  </si>
  <si>
    <t>定年時</t>
    <rPh sb="0" eb="2">
      <t>テイネン</t>
    </rPh>
    <rPh sb="2" eb="3">
      <t>ジ</t>
    </rPh>
    <phoneticPr fontId="2"/>
  </si>
  <si>
    <t>通算積立額</t>
    <rPh sb="0" eb="2">
      <t>ツウサン</t>
    </rPh>
    <rPh sb="2" eb="4">
      <t>ツミタテ</t>
    </rPh>
    <rPh sb="4" eb="5">
      <t>ガク</t>
    </rPh>
    <phoneticPr fontId="2"/>
  </si>
  <si>
    <t>定年到達</t>
    <rPh sb="0" eb="2">
      <t>テイネン</t>
    </rPh>
    <rPh sb="2" eb="4">
      <t>トウタツ</t>
    </rPh>
    <phoneticPr fontId="2"/>
  </si>
  <si>
    <t>年月日</t>
    <rPh sb="0" eb="3">
      <t>ネンガッピ</t>
    </rPh>
    <phoneticPr fontId="2"/>
  </si>
  <si>
    <t>支払退職金</t>
    <rPh sb="0" eb="2">
      <t>シハライ</t>
    </rPh>
    <rPh sb="2" eb="5">
      <t>タイショクキン</t>
    </rPh>
    <phoneticPr fontId="2"/>
  </si>
  <si>
    <t>3年0ヶ月</t>
    <rPh sb="1" eb="2">
      <t>ネン</t>
    </rPh>
    <rPh sb="4" eb="5">
      <t>ゲツ</t>
    </rPh>
    <phoneticPr fontId="2"/>
  </si>
  <si>
    <t>10年10ヶ月</t>
    <rPh sb="2" eb="3">
      <t>ネン</t>
    </rPh>
    <rPh sb="6" eb="7">
      <t>ゲツ</t>
    </rPh>
    <phoneticPr fontId="2"/>
  </si>
  <si>
    <t>7年0ヶ月</t>
    <rPh sb="1" eb="2">
      <t>ネン</t>
    </rPh>
    <rPh sb="4" eb="5">
      <t>ゲツ</t>
    </rPh>
    <phoneticPr fontId="2"/>
  </si>
  <si>
    <t>3年10ヶ月</t>
    <rPh sb="1" eb="2">
      <t>ネン</t>
    </rPh>
    <rPh sb="5" eb="6">
      <t>ゲツ</t>
    </rPh>
    <phoneticPr fontId="2"/>
  </si>
  <si>
    <t>5年4ヶ月</t>
    <rPh sb="1" eb="2">
      <t>ネン</t>
    </rPh>
    <rPh sb="4" eb="5">
      <t>ゲツ</t>
    </rPh>
    <phoneticPr fontId="2"/>
  </si>
  <si>
    <t>A年</t>
    <rPh sb="1" eb="2">
      <t>ネン</t>
    </rPh>
    <phoneticPr fontId="2"/>
  </si>
  <si>
    <t>支給額</t>
    <rPh sb="0" eb="3">
      <t>シキュウガク</t>
    </rPh>
    <phoneticPr fontId="2"/>
  </si>
  <si>
    <t>2年0ヶ月</t>
    <rPh sb="1" eb="2">
      <t>ネン</t>
    </rPh>
    <rPh sb="4" eb="5">
      <t>ゲツ</t>
    </rPh>
    <phoneticPr fontId="2"/>
  </si>
  <si>
    <t>4年0ヶ月</t>
    <rPh sb="1" eb="2">
      <t>ネン</t>
    </rPh>
    <rPh sb="4" eb="5">
      <t>ゲツ</t>
    </rPh>
    <phoneticPr fontId="2"/>
  </si>
  <si>
    <t>4年11ヶ月</t>
    <rPh sb="1" eb="2">
      <t>ネン</t>
    </rPh>
    <rPh sb="5" eb="6">
      <t>ゲツ</t>
    </rPh>
    <phoneticPr fontId="2"/>
  </si>
  <si>
    <t>5年0ヶ月</t>
    <rPh sb="1" eb="2">
      <t>ネン</t>
    </rPh>
    <rPh sb="4" eb="5">
      <t>ゲツ</t>
    </rPh>
    <phoneticPr fontId="2"/>
  </si>
  <si>
    <t>7年11ヶ月</t>
    <rPh sb="1" eb="2">
      <t>ネン</t>
    </rPh>
    <rPh sb="5" eb="6">
      <t>ゲツ</t>
    </rPh>
    <phoneticPr fontId="2"/>
  </si>
  <si>
    <t>8年0ヶ月</t>
    <rPh sb="1" eb="2">
      <t>ネン</t>
    </rPh>
    <rPh sb="4" eb="5">
      <t>ゲツ</t>
    </rPh>
    <phoneticPr fontId="2"/>
  </si>
  <si>
    <t>9年0ヶ月</t>
    <rPh sb="1" eb="2">
      <t>ネン</t>
    </rPh>
    <rPh sb="4" eb="5">
      <t>ゲツ</t>
    </rPh>
    <phoneticPr fontId="2"/>
  </si>
  <si>
    <t>9年11ヶ月</t>
    <rPh sb="1" eb="2">
      <t>ネン</t>
    </rPh>
    <rPh sb="5" eb="6">
      <t>ゲツ</t>
    </rPh>
    <phoneticPr fontId="2"/>
  </si>
  <si>
    <t>10年0ヶ月</t>
    <rPh sb="2" eb="3">
      <t>ネン</t>
    </rPh>
    <rPh sb="5" eb="6">
      <t>ゲツ</t>
    </rPh>
    <phoneticPr fontId="2"/>
  </si>
  <si>
    <t>9年9ヶ月</t>
    <rPh sb="1" eb="2">
      <t>ネン</t>
    </rPh>
    <rPh sb="4" eb="5">
      <t>ゲツ</t>
    </rPh>
    <phoneticPr fontId="2"/>
  </si>
  <si>
    <t>堀井</t>
    <rPh sb="0" eb="2">
      <t>ホリイ</t>
    </rPh>
    <phoneticPr fontId="2"/>
  </si>
  <si>
    <t>11年0ヶ月</t>
    <rPh sb="2" eb="3">
      <t>ネン</t>
    </rPh>
    <rPh sb="5" eb="6">
      <t>ゲツ</t>
    </rPh>
    <phoneticPr fontId="2"/>
  </si>
  <si>
    <t>12年0ヶ月</t>
    <rPh sb="2" eb="3">
      <t>ネン</t>
    </rPh>
    <rPh sb="5" eb="6">
      <t>ゲツ</t>
    </rPh>
    <phoneticPr fontId="2"/>
  </si>
  <si>
    <t>13年0ヶ月</t>
    <rPh sb="2" eb="3">
      <t>ネン</t>
    </rPh>
    <rPh sb="5" eb="6">
      <t>ゲツ</t>
    </rPh>
    <phoneticPr fontId="2"/>
  </si>
  <si>
    <t>14年0ヶ月</t>
    <rPh sb="2" eb="3">
      <t>ネン</t>
    </rPh>
    <rPh sb="5" eb="6">
      <t>ゲツ</t>
    </rPh>
    <phoneticPr fontId="2"/>
  </si>
  <si>
    <t>15年0ヶ月</t>
    <rPh sb="2" eb="3">
      <t>ネン</t>
    </rPh>
    <rPh sb="5" eb="6">
      <t>ゲツ</t>
    </rPh>
    <phoneticPr fontId="2"/>
  </si>
  <si>
    <t>俵</t>
    <rPh sb="0" eb="1">
      <t>タワラ</t>
    </rPh>
    <phoneticPr fontId="2"/>
  </si>
  <si>
    <t>定年到達時勤続年月</t>
    <rPh sb="0" eb="2">
      <t>テイネン</t>
    </rPh>
    <rPh sb="2" eb="4">
      <t>トウタツ</t>
    </rPh>
    <rPh sb="4" eb="5">
      <t>ジ</t>
    </rPh>
    <rPh sb="5" eb="7">
      <t>キンゾク</t>
    </rPh>
    <rPh sb="7" eb="9">
      <t>ネンゲツ</t>
    </rPh>
    <phoneticPr fontId="2"/>
  </si>
  <si>
    <t>定年到達時</t>
    <rPh sb="0" eb="2">
      <t>テイネン</t>
    </rPh>
    <rPh sb="2" eb="4">
      <t>トウタツ</t>
    </rPh>
    <rPh sb="4" eb="5">
      <t>ジ</t>
    </rPh>
    <phoneticPr fontId="2"/>
  </si>
  <si>
    <t>A＋1年</t>
    <rPh sb="3" eb="4">
      <t>ネン</t>
    </rPh>
    <phoneticPr fontId="2"/>
  </si>
  <si>
    <t>さぽーとさっぽろ</t>
    <phoneticPr fontId="2"/>
  </si>
  <si>
    <t>解約時支払済額</t>
    <rPh sb="0" eb="2">
      <t>カイヤク</t>
    </rPh>
    <rPh sb="2" eb="3">
      <t>ジ</t>
    </rPh>
    <rPh sb="3" eb="5">
      <t>シハライ</t>
    </rPh>
    <rPh sb="5" eb="6">
      <t>ズ</t>
    </rPh>
    <rPh sb="6" eb="7">
      <t>ガク</t>
    </rPh>
    <phoneticPr fontId="2"/>
  </si>
  <si>
    <t>市場</t>
    <rPh sb="0" eb="2">
      <t>イチバ</t>
    </rPh>
    <phoneticPr fontId="2"/>
  </si>
  <si>
    <t>12年8ヶ月</t>
    <rPh sb="2" eb="3">
      <t>ネン</t>
    </rPh>
    <rPh sb="5" eb="6">
      <t>ゲツ</t>
    </rPh>
    <phoneticPr fontId="2"/>
  </si>
  <si>
    <t>差引支給額</t>
    <rPh sb="0" eb="2">
      <t>サシヒキ</t>
    </rPh>
    <rPh sb="2" eb="5">
      <t>シキュウガク</t>
    </rPh>
    <phoneticPr fontId="2"/>
  </si>
  <si>
    <t>勤続年数（さぽーとさっぽろ加入対象者については、加入期間）に年未満の端数月数があるときは、次の月割計算を行う。</t>
    <rPh sb="0" eb="2">
      <t>キンゾク</t>
    </rPh>
    <rPh sb="2" eb="4">
      <t>ネンスウ</t>
    </rPh>
    <rPh sb="13" eb="15">
      <t>カニュウ</t>
    </rPh>
    <rPh sb="15" eb="18">
      <t>タイショウシャ</t>
    </rPh>
    <rPh sb="24" eb="26">
      <t>カニュウ</t>
    </rPh>
    <rPh sb="26" eb="28">
      <t>キカン</t>
    </rPh>
    <rPh sb="30" eb="31">
      <t>ネン</t>
    </rPh>
    <rPh sb="31" eb="33">
      <t>ミマン</t>
    </rPh>
    <rPh sb="34" eb="36">
      <t>ハスウ</t>
    </rPh>
    <rPh sb="36" eb="37">
      <t>ツキ</t>
    </rPh>
    <rPh sb="37" eb="38">
      <t>スウ</t>
    </rPh>
    <rPh sb="45" eb="46">
      <t>ツギ</t>
    </rPh>
    <rPh sb="47" eb="49">
      <t>ツキワ</t>
    </rPh>
    <rPh sb="49" eb="51">
      <t>ケイサン</t>
    </rPh>
    <rPh sb="52" eb="53">
      <t>オコナ</t>
    </rPh>
    <phoneticPr fontId="2"/>
  </si>
  <si>
    <t>積立額に対する支給率は従前加入の公益財団法人札幌市中小企業共済センター特定退職金共済制度に因る。</t>
    <rPh sb="0" eb="2">
      <t>ツミタテ</t>
    </rPh>
    <rPh sb="2" eb="3">
      <t>ガク</t>
    </rPh>
    <rPh sb="4" eb="5">
      <t>タイ</t>
    </rPh>
    <rPh sb="7" eb="10">
      <t>シキュウリツ</t>
    </rPh>
    <rPh sb="11" eb="13">
      <t>ジュウゼン</t>
    </rPh>
    <rPh sb="13" eb="15">
      <t>カニュウ</t>
    </rPh>
    <rPh sb="16" eb="18">
      <t>コウエキ</t>
    </rPh>
    <rPh sb="18" eb="20">
      <t>ザイダン</t>
    </rPh>
    <rPh sb="20" eb="22">
      <t>ホウジン</t>
    </rPh>
    <rPh sb="22" eb="25">
      <t>サッポロシ</t>
    </rPh>
    <rPh sb="25" eb="27">
      <t>チュウショウ</t>
    </rPh>
    <rPh sb="27" eb="29">
      <t>キギョウ</t>
    </rPh>
    <rPh sb="29" eb="31">
      <t>キョウサイ</t>
    </rPh>
    <rPh sb="35" eb="37">
      <t>トクテイ</t>
    </rPh>
    <rPh sb="37" eb="40">
      <t>タイショクキン</t>
    </rPh>
    <rPh sb="40" eb="42">
      <t>キョウサイ</t>
    </rPh>
    <rPh sb="42" eb="44">
      <t>セイド</t>
    </rPh>
    <rPh sb="45" eb="46">
      <t>ヨ</t>
    </rPh>
    <phoneticPr fontId="2"/>
  </si>
  <si>
    <t>支給額に円未満の端数がある場合は四捨五入する。</t>
    <rPh sb="0" eb="3">
      <t>シキュウガク</t>
    </rPh>
    <rPh sb="4" eb="5">
      <t>エン</t>
    </rPh>
    <rPh sb="5" eb="7">
      <t>ミマン</t>
    </rPh>
    <rPh sb="8" eb="10">
      <t>ハスウ</t>
    </rPh>
    <rPh sb="13" eb="15">
      <t>バアイ</t>
    </rPh>
    <rPh sb="16" eb="20">
      <t>シシャゴニュウ</t>
    </rPh>
    <phoneticPr fontId="2"/>
  </si>
  <si>
    <t>A年Bヶ月の支給額＝{Ａ年の支給額＋{（Ａ＋１年の支給額－Ａ年の支給額）×Ｂ÷１２｝}×支給率</t>
    <rPh sb="1" eb="2">
      <t>ネン</t>
    </rPh>
    <rPh sb="4" eb="5">
      <t>ゲツ</t>
    </rPh>
    <rPh sb="6" eb="9">
      <t>シキュウガク</t>
    </rPh>
    <rPh sb="12" eb="13">
      <t>ネン</t>
    </rPh>
    <rPh sb="14" eb="17">
      <t>シキュウガク</t>
    </rPh>
    <rPh sb="23" eb="24">
      <t>ネン</t>
    </rPh>
    <rPh sb="25" eb="28">
      <t>シキュウガク</t>
    </rPh>
    <rPh sb="30" eb="31">
      <t>ネン</t>
    </rPh>
    <rPh sb="32" eb="35">
      <t>シキュウガク</t>
    </rPh>
    <rPh sb="44" eb="47">
      <t>シキュウリツ</t>
    </rPh>
    <phoneticPr fontId="2"/>
  </si>
  <si>
    <t>B箇月</t>
    <rPh sb="1" eb="3">
      <t>カゲツ</t>
    </rPh>
    <phoneticPr fontId="2"/>
  </si>
  <si>
    <t>準職員（常勤）退職金について</t>
    <rPh sb="0" eb="3">
      <t>ジュンショクイン</t>
    </rPh>
    <rPh sb="4" eb="6">
      <t>ジョウキン</t>
    </rPh>
    <rPh sb="7" eb="10">
      <t>タイショクキン</t>
    </rPh>
    <phoneticPr fontId="2"/>
  </si>
  <si>
    <t>２７年度末
累計積立見合額</t>
    <rPh sb="2" eb="3">
      <t>ネン</t>
    </rPh>
    <rPh sb="3" eb="4">
      <t>ド</t>
    </rPh>
    <rPh sb="4" eb="5">
      <t>マツ</t>
    </rPh>
    <rPh sb="6" eb="8">
      <t>ルイケイ</t>
    </rPh>
    <rPh sb="8" eb="10">
      <t>ツミタテ</t>
    </rPh>
    <rPh sb="10" eb="12">
      <t>ミアイ</t>
    </rPh>
    <rPh sb="12" eb="13">
      <t>ガク</t>
    </rPh>
    <phoneticPr fontId="2"/>
  </si>
  <si>
    <t>２７年度末</t>
    <rPh sb="2" eb="5">
      <t>ネンドマツ</t>
    </rPh>
    <phoneticPr fontId="2"/>
  </si>
  <si>
    <t>２７年度末迄</t>
    <rPh sb="2" eb="3">
      <t>ネン</t>
    </rPh>
    <rPh sb="3" eb="4">
      <t>ド</t>
    </rPh>
    <rPh sb="4" eb="5">
      <t>マツ</t>
    </rPh>
    <rPh sb="5" eb="6">
      <t>マデ</t>
    </rPh>
    <phoneticPr fontId="2"/>
  </si>
  <si>
    <t>3年9ヶ月</t>
    <rPh sb="1" eb="2">
      <t>ネン</t>
    </rPh>
    <rPh sb="4" eb="5">
      <t>ゲツ</t>
    </rPh>
    <phoneticPr fontId="2"/>
  </si>
  <si>
    <t>11ヶ月</t>
    <rPh sb="3" eb="4">
      <t>ゲツ</t>
    </rPh>
    <phoneticPr fontId="2"/>
  </si>
  <si>
    <t>4年10ヶ月</t>
    <rPh sb="1" eb="2">
      <t>ネン</t>
    </rPh>
    <rPh sb="5" eb="6">
      <t>ゲツ</t>
    </rPh>
    <phoneticPr fontId="2"/>
  </si>
  <si>
    <t>11年10ヶ月</t>
    <rPh sb="2" eb="3">
      <t>ネン</t>
    </rPh>
    <rPh sb="6" eb="7">
      <t>ゲツ</t>
    </rPh>
    <phoneticPr fontId="2"/>
  </si>
  <si>
    <t>9ヶ月</t>
    <rPh sb="2" eb="3">
      <t>ゲツ</t>
    </rPh>
    <phoneticPr fontId="2"/>
  </si>
  <si>
    <t>1年11ヶ月</t>
    <rPh sb="1" eb="2">
      <t>ネン</t>
    </rPh>
    <rPh sb="5" eb="6">
      <t>ゲツ</t>
    </rPh>
    <phoneticPr fontId="2"/>
  </si>
  <si>
    <t>-</t>
    <phoneticPr fontId="2"/>
  </si>
  <si>
    <t>8ヶ月</t>
    <rPh sb="2" eb="3">
      <t>ゲツ</t>
    </rPh>
    <phoneticPr fontId="2"/>
  </si>
  <si>
    <t>燃料・資源</t>
    <rPh sb="0" eb="2">
      <t>ネンリョウ</t>
    </rPh>
    <rPh sb="3" eb="5">
      <t>シゲン</t>
    </rPh>
    <phoneticPr fontId="2"/>
  </si>
  <si>
    <t>吉</t>
    <rPh sb="0" eb="1">
      <t>ヨシ</t>
    </rPh>
    <phoneticPr fontId="2"/>
  </si>
  <si>
    <t>三品</t>
    <rPh sb="0" eb="2">
      <t>ミシナ</t>
    </rPh>
    <phoneticPr fontId="2"/>
  </si>
  <si>
    <t>支給率についても端数月がある場合は同様に端数計算をし、当該月の支給率を算出する。</t>
    <rPh sb="0" eb="3">
      <t>シキュウリツ</t>
    </rPh>
    <rPh sb="8" eb="10">
      <t>ハスウ</t>
    </rPh>
    <rPh sb="10" eb="11">
      <t>ツキ</t>
    </rPh>
    <rPh sb="14" eb="16">
      <t>バアイ</t>
    </rPh>
    <rPh sb="17" eb="19">
      <t>ドウヨウ</t>
    </rPh>
    <rPh sb="20" eb="22">
      <t>ハスウ</t>
    </rPh>
    <rPh sb="22" eb="24">
      <t>ケイサン</t>
    </rPh>
    <rPh sb="27" eb="29">
      <t>トウガイ</t>
    </rPh>
    <rPh sb="29" eb="30">
      <t>ツキ</t>
    </rPh>
    <rPh sb="31" eb="34">
      <t>シキュウリツ</t>
    </rPh>
    <rPh sb="35" eb="37">
      <t>サンシュツ</t>
    </rPh>
    <phoneticPr fontId="2"/>
  </si>
  <si>
    <t>-</t>
    <phoneticPr fontId="2"/>
  </si>
  <si>
    <t>木村</t>
    <rPh sb="0" eb="2">
      <t>キムラ</t>
    </rPh>
    <phoneticPr fontId="2"/>
  </si>
  <si>
    <t>倉庫部札幌倉庫課</t>
    <rPh sb="0" eb="2">
      <t>ソウコ</t>
    </rPh>
    <rPh sb="2" eb="3">
      <t>ブ</t>
    </rPh>
    <rPh sb="3" eb="5">
      <t>サッポロ</t>
    </rPh>
    <rPh sb="5" eb="7">
      <t>ソウコ</t>
    </rPh>
    <rPh sb="7" eb="8">
      <t>カ</t>
    </rPh>
    <phoneticPr fontId="2"/>
  </si>
  <si>
    <t>２８年度末
累計積立見合額</t>
    <rPh sb="2" eb="3">
      <t>ネン</t>
    </rPh>
    <rPh sb="3" eb="4">
      <t>ド</t>
    </rPh>
    <rPh sb="4" eb="5">
      <t>マツ</t>
    </rPh>
    <rPh sb="6" eb="8">
      <t>ルイケイ</t>
    </rPh>
    <rPh sb="8" eb="10">
      <t>ツミタテ</t>
    </rPh>
    <rPh sb="10" eb="12">
      <t>ミアイ</t>
    </rPh>
    <rPh sb="12" eb="13">
      <t>ガク</t>
    </rPh>
    <phoneticPr fontId="2"/>
  </si>
  <si>
    <t>２８年度末</t>
    <rPh sb="2" eb="5">
      <t>ネンドマツ</t>
    </rPh>
    <phoneticPr fontId="2"/>
  </si>
  <si>
    <t>２８年度末迄</t>
    <rPh sb="2" eb="3">
      <t>ネン</t>
    </rPh>
    <rPh sb="3" eb="4">
      <t>ド</t>
    </rPh>
    <rPh sb="4" eb="5">
      <t>マツ</t>
    </rPh>
    <rPh sb="5" eb="6">
      <t>マデ</t>
    </rPh>
    <phoneticPr fontId="2"/>
  </si>
  <si>
    <t>4年9ヶ月</t>
    <rPh sb="1" eb="2">
      <t>ネン</t>
    </rPh>
    <rPh sb="4" eb="5">
      <t>ゲツ</t>
    </rPh>
    <phoneticPr fontId="2"/>
  </si>
  <si>
    <t>2年11ヶ月</t>
    <rPh sb="1" eb="2">
      <t>ネン</t>
    </rPh>
    <rPh sb="5" eb="6">
      <t>ゲツ</t>
    </rPh>
    <phoneticPr fontId="2"/>
  </si>
  <si>
    <t>2年5ヶ月</t>
    <rPh sb="1" eb="2">
      <t>ネン</t>
    </rPh>
    <rPh sb="4" eb="5">
      <t>ゲツ</t>
    </rPh>
    <phoneticPr fontId="2"/>
  </si>
  <si>
    <t>0年1ヶ月～4年11ヶ月</t>
    <rPh sb="1" eb="2">
      <t>ネン</t>
    </rPh>
    <rPh sb="4" eb="5">
      <t>ゲツ</t>
    </rPh>
    <rPh sb="7" eb="8">
      <t>ネン</t>
    </rPh>
    <rPh sb="11" eb="12">
      <t>ゲツ</t>
    </rPh>
    <phoneticPr fontId="2"/>
  </si>
  <si>
    <t>5年0ヶ月～7年11ヶ月</t>
    <rPh sb="1" eb="2">
      <t>ネン</t>
    </rPh>
    <rPh sb="4" eb="5">
      <t>ゲツ</t>
    </rPh>
    <rPh sb="7" eb="8">
      <t>ネン</t>
    </rPh>
    <rPh sb="11" eb="12">
      <t>ゲツ</t>
    </rPh>
    <phoneticPr fontId="2"/>
  </si>
  <si>
    <t>8年0ヶ月～9年11ヶ月</t>
    <rPh sb="1" eb="2">
      <t>ネン</t>
    </rPh>
    <rPh sb="4" eb="5">
      <t>ゲツ</t>
    </rPh>
    <rPh sb="7" eb="8">
      <t>ネン</t>
    </rPh>
    <rPh sb="11" eb="12">
      <t>ゲツ</t>
    </rPh>
    <phoneticPr fontId="2"/>
  </si>
  <si>
    <t>10年0ヶ月～</t>
    <rPh sb="2" eb="3">
      <t>ネン</t>
    </rPh>
    <rPh sb="5" eb="6">
      <t>ゲツ</t>
    </rPh>
    <phoneticPr fontId="2"/>
  </si>
  <si>
    <t>年間積立額</t>
    <rPh sb="0" eb="2">
      <t>ネンカン</t>
    </rPh>
    <rPh sb="2" eb="4">
      <t>ツミタテ</t>
    </rPh>
    <rPh sb="4" eb="5">
      <t>ガク</t>
    </rPh>
    <phoneticPr fontId="2"/>
  </si>
  <si>
    <t>勤続期間</t>
    <rPh sb="0" eb="2">
      <t>キンゾク</t>
    </rPh>
    <rPh sb="2" eb="4">
      <t>キカン</t>
    </rPh>
    <phoneticPr fontId="2"/>
  </si>
  <si>
    <t>積立金額</t>
    <rPh sb="0" eb="2">
      <t>ツミタテ</t>
    </rPh>
    <rPh sb="2" eb="4">
      <t>キンガク</t>
    </rPh>
    <phoneticPr fontId="2"/>
  </si>
  <si>
    <t>勤続年数</t>
    <rPh sb="0" eb="2">
      <t>キンゾク</t>
    </rPh>
    <rPh sb="2" eb="4">
      <t>ネンスウ</t>
    </rPh>
    <phoneticPr fontId="2"/>
  </si>
  <si>
    <t>1ヶ月</t>
    <rPh sb="2" eb="3">
      <t>ゲツ</t>
    </rPh>
    <phoneticPr fontId="2"/>
  </si>
  <si>
    <t>2ヶ月</t>
    <rPh sb="2" eb="3">
      <t>ゲツ</t>
    </rPh>
    <phoneticPr fontId="2"/>
  </si>
  <si>
    <t>4ヶ月</t>
    <rPh sb="2" eb="3">
      <t>ゲツ</t>
    </rPh>
    <phoneticPr fontId="2"/>
  </si>
  <si>
    <t>5ヶ月</t>
    <rPh sb="2" eb="3">
      <t>ゲツ</t>
    </rPh>
    <phoneticPr fontId="2"/>
  </si>
  <si>
    <t>7ヶ月</t>
    <rPh sb="2" eb="3">
      <t>ゲツ</t>
    </rPh>
    <phoneticPr fontId="2"/>
  </si>
  <si>
    <t>10ヶ月</t>
    <rPh sb="3" eb="4">
      <t>ゲツ</t>
    </rPh>
    <phoneticPr fontId="2"/>
  </si>
  <si>
    <t>1年1ヶ月</t>
    <rPh sb="1" eb="2">
      <t>ネン</t>
    </rPh>
    <rPh sb="4" eb="5">
      <t>ゲツ</t>
    </rPh>
    <phoneticPr fontId="2"/>
  </si>
  <si>
    <t>1年2ヶ月</t>
    <rPh sb="1" eb="2">
      <t>ネン</t>
    </rPh>
    <rPh sb="4" eb="5">
      <t>ゲツ</t>
    </rPh>
    <phoneticPr fontId="2"/>
  </si>
  <si>
    <t>1年3ヶ月</t>
    <rPh sb="1" eb="2">
      <t>ネン</t>
    </rPh>
    <rPh sb="4" eb="5">
      <t>ゲツ</t>
    </rPh>
    <phoneticPr fontId="2"/>
  </si>
  <si>
    <t>1年4ヶ月</t>
    <rPh sb="1" eb="2">
      <t>ネン</t>
    </rPh>
    <rPh sb="4" eb="5">
      <t>ゲツ</t>
    </rPh>
    <phoneticPr fontId="2"/>
  </si>
  <si>
    <t>1年7ヶ月</t>
    <rPh sb="1" eb="2">
      <t>ネン</t>
    </rPh>
    <rPh sb="4" eb="5">
      <t>ゲツ</t>
    </rPh>
    <phoneticPr fontId="2"/>
  </si>
  <si>
    <t>2年1ヶ月</t>
    <rPh sb="1" eb="2">
      <t>ネン</t>
    </rPh>
    <rPh sb="4" eb="5">
      <t>ゲツ</t>
    </rPh>
    <phoneticPr fontId="2"/>
  </si>
  <si>
    <t>2年2ヶ月</t>
    <rPh sb="1" eb="2">
      <t>ネン</t>
    </rPh>
    <rPh sb="4" eb="5">
      <t>ゲツ</t>
    </rPh>
    <phoneticPr fontId="2"/>
  </si>
  <si>
    <t>2年3ヶ月</t>
    <rPh sb="1" eb="2">
      <t>ネン</t>
    </rPh>
    <rPh sb="4" eb="5">
      <t>ゲツ</t>
    </rPh>
    <phoneticPr fontId="2"/>
  </si>
  <si>
    <t>2年6ヶ月</t>
    <rPh sb="1" eb="2">
      <t>ネン</t>
    </rPh>
    <rPh sb="4" eb="5">
      <t>ゲツ</t>
    </rPh>
    <phoneticPr fontId="2"/>
  </si>
  <si>
    <t>3年1ヶ月</t>
    <rPh sb="1" eb="2">
      <t>ネン</t>
    </rPh>
    <rPh sb="4" eb="5">
      <t>ゲツ</t>
    </rPh>
    <phoneticPr fontId="2"/>
  </si>
  <si>
    <t>3年2ヶ月</t>
    <rPh sb="1" eb="2">
      <t>ネン</t>
    </rPh>
    <rPh sb="4" eb="5">
      <t>ゲツ</t>
    </rPh>
    <phoneticPr fontId="2"/>
  </si>
  <si>
    <t>3年3ヶ月</t>
    <rPh sb="1" eb="2">
      <t>ネン</t>
    </rPh>
    <rPh sb="4" eb="5">
      <t>ゲツ</t>
    </rPh>
    <phoneticPr fontId="2"/>
  </si>
  <si>
    <t>3年4ヶ月</t>
    <rPh sb="1" eb="2">
      <t>ネン</t>
    </rPh>
    <rPh sb="4" eb="5">
      <t>ゲツ</t>
    </rPh>
    <phoneticPr fontId="2"/>
  </si>
  <si>
    <t>3年5ヶ月</t>
    <rPh sb="1" eb="2">
      <t>ネン</t>
    </rPh>
    <rPh sb="4" eb="5">
      <t>ゲツ</t>
    </rPh>
    <phoneticPr fontId="2"/>
  </si>
  <si>
    <t>3年6ヶ月</t>
    <rPh sb="1" eb="2">
      <t>ネン</t>
    </rPh>
    <rPh sb="4" eb="5">
      <t>ゲツ</t>
    </rPh>
    <phoneticPr fontId="2"/>
  </si>
  <si>
    <t>3年7ヶ月</t>
    <rPh sb="1" eb="2">
      <t>ネン</t>
    </rPh>
    <rPh sb="4" eb="5">
      <t>ゲツ</t>
    </rPh>
    <phoneticPr fontId="2"/>
  </si>
  <si>
    <t>3年8ヶ月</t>
    <rPh sb="1" eb="2">
      <t>ネン</t>
    </rPh>
    <rPh sb="4" eb="5">
      <t>ゲツ</t>
    </rPh>
    <phoneticPr fontId="2"/>
  </si>
  <si>
    <t>3年11ヶ月</t>
    <rPh sb="1" eb="2">
      <t>ネン</t>
    </rPh>
    <rPh sb="5" eb="6">
      <t>ゲツ</t>
    </rPh>
    <phoneticPr fontId="2"/>
  </si>
  <si>
    <t>4年1ヶ月</t>
    <rPh sb="1" eb="2">
      <t>ネン</t>
    </rPh>
    <rPh sb="4" eb="5">
      <t>ゲツ</t>
    </rPh>
    <phoneticPr fontId="2"/>
  </si>
  <si>
    <t>4年2ヶ月</t>
    <rPh sb="1" eb="2">
      <t>ネン</t>
    </rPh>
    <rPh sb="4" eb="5">
      <t>ゲツ</t>
    </rPh>
    <phoneticPr fontId="2"/>
  </si>
  <si>
    <t>4年3ヶ月</t>
    <rPh sb="1" eb="2">
      <t>ネン</t>
    </rPh>
    <rPh sb="4" eb="5">
      <t>ゲツ</t>
    </rPh>
    <phoneticPr fontId="2"/>
  </si>
  <si>
    <t>4年4ヶ月</t>
    <rPh sb="1" eb="2">
      <t>ネン</t>
    </rPh>
    <rPh sb="4" eb="5">
      <t>ゲツ</t>
    </rPh>
    <phoneticPr fontId="2"/>
  </si>
  <si>
    <t>4年5ヶ月</t>
    <rPh sb="1" eb="2">
      <t>ネン</t>
    </rPh>
    <rPh sb="4" eb="5">
      <t>ゲツ</t>
    </rPh>
    <phoneticPr fontId="2"/>
  </si>
  <si>
    <t>4年6ヶ月</t>
    <rPh sb="1" eb="2">
      <t>ネン</t>
    </rPh>
    <rPh sb="4" eb="5">
      <t>ゲツ</t>
    </rPh>
    <phoneticPr fontId="2"/>
  </si>
  <si>
    <t>4年7ヶ月</t>
    <rPh sb="1" eb="2">
      <t>ネン</t>
    </rPh>
    <rPh sb="4" eb="5">
      <t>ゲツ</t>
    </rPh>
    <phoneticPr fontId="2"/>
  </si>
  <si>
    <t>4年8ヶ月</t>
    <rPh sb="1" eb="2">
      <t>ネン</t>
    </rPh>
    <rPh sb="4" eb="5">
      <t>ゲツ</t>
    </rPh>
    <phoneticPr fontId="2"/>
  </si>
  <si>
    <t>5年1ヶ月</t>
    <rPh sb="1" eb="2">
      <t>ネン</t>
    </rPh>
    <rPh sb="4" eb="5">
      <t>ゲツ</t>
    </rPh>
    <phoneticPr fontId="2"/>
  </si>
  <si>
    <t>5年2ヶ月</t>
    <rPh sb="1" eb="2">
      <t>ネン</t>
    </rPh>
    <rPh sb="4" eb="5">
      <t>ゲツ</t>
    </rPh>
    <phoneticPr fontId="2"/>
  </si>
  <si>
    <t>5年3ヶ月</t>
    <rPh sb="1" eb="2">
      <t>ネン</t>
    </rPh>
    <rPh sb="4" eb="5">
      <t>ゲツ</t>
    </rPh>
    <phoneticPr fontId="2"/>
  </si>
  <si>
    <t>5年5ヶ月</t>
    <rPh sb="1" eb="2">
      <t>ネン</t>
    </rPh>
    <rPh sb="4" eb="5">
      <t>ゲツ</t>
    </rPh>
    <phoneticPr fontId="2"/>
  </si>
  <si>
    <t>5年6ヶ月</t>
    <rPh sb="1" eb="2">
      <t>ネン</t>
    </rPh>
    <rPh sb="4" eb="5">
      <t>ゲツ</t>
    </rPh>
    <phoneticPr fontId="2"/>
  </si>
  <si>
    <t>5年7ヶ月</t>
    <rPh sb="1" eb="2">
      <t>ネン</t>
    </rPh>
    <rPh sb="4" eb="5">
      <t>ゲツ</t>
    </rPh>
    <phoneticPr fontId="2"/>
  </si>
  <si>
    <t>5年8ヶ月</t>
    <rPh sb="1" eb="2">
      <t>ネン</t>
    </rPh>
    <rPh sb="4" eb="5">
      <t>ゲツ</t>
    </rPh>
    <phoneticPr fontId="2"/>
  </si>
  <si>
    <t>5年9ヶ月</t>
    <rPh sb="1" eb="2">
      <t>ネン</t>
    </rPh>
    <rPh sb="4" eb="5">
      <t>ゲツ</t>
    </rPh>
    <phoneticPr fontId="2"/>
  </si>
  <si>
    <t>5年10ヶ月</t>
    <rPh sb="1" eb="2">
      <t>ネン</t>
    </rPh>
    <rPh sb="5" eb="6">
      <t>ゲツ</t>
    </rPh>
    <phoneticPr fontId="2"/>
  </si>
  <si>
    <t>5年11ヶ月</t>
    <rPh sb="1" eb="2">
      <t>ネン</t>
    </rPh>
    <rPh sb="5" eb="6">
      <t>ゲツ</t>
    </rPh>
    <phoneticPr fontId="2"/>
  </si>
  <si>
    <t>入社月</t>
    <rPh sb="0" eb="2">
      <t>ニュウシャ</t>
    </rPh>
    <rPh sb="2" eb="3">
      <t>ツキ</t>
    </rPh>
    <phoneticPr fontId="2"/>
  </si>
  <si>
    <t>6年1ヶ月</t>
    <rPh sb="1" eb="2">
      <t>ネン</t>
    </rPh>
    <rPh sb="4" eb="5">
      <t>ゲツ</t>
    </rPh>
    <phoneticPr fontId="2"/>
  </si>
  <si>
    <t>6年2ヶ月</t>
    <rPh sb="1" eb="2">
      <t>ネン</t>
    </rPh>
    <rPh sb="4" eb="5">
      <t>ゲツ</t>
    </rPh>
    <phoneticPr fontId="2"/>
  </si>
  <si>
    <t>6年3ヶ月</t>
    <rPh sb="1" eb="2">
      <t>ネン</t>
    </rPh>
    <rPh sb="4" eb="5">
      <t>ゲツ</t>
    </rPh>
    <phoneticPr fontId="2"/>
  </si>
  <si>
    <t>6年4ヶ月</t>
    <rPh sb="1" eb="2">
      <t>ネン</t>
    </rPh>
    <rPh sb="4" eb="5">
      <t>ゲツ</t>
    </rPh>
    <phoneticPr fontId="2"/>
  </si>
  <si>
    <t>6年5ヶ月</t>
    <rPh sb="1" eb="2">
      <t>ネン</t>
    </rPh>
    <rPh sb="4" eb="5">
      <t>ゲツ</t>
    </rPh>
    <phoneticPr fontId="2"/>
  </si>
  <si>
    <t>6年6ヶ月</t>
    <rPh sb="1" eb="2">
      <t>ネン</t>
    </rPh>
    <rPh sb="4" eb="5">
      <t>ゲツ</t>
    </rPh>
    <phoneticPr fontId="2"/>
  </si>
  <si>
    <t>6年7ヶ月</t>
    <rPh sb="1" eb="2">
      <t>ネン</t>
    </rPh>
    <rPh sb="4" eb="5">
      <t>ゲツ</t>
    </rPh>
    <phoneticPr fontId="2"/>
  </si>
  <si>
    <t>6年8ヶ月</t>
    <rPh sb="1" eb="2">
      <t>ネン</t>
    </rPh>
    <rPh sb="4" eb="5">
      <t>ゲツ</t>
    </rPh>
    <phoneticPr fontId="2"/>
  </si>
  <si>
    <t>6年9ヶ月</t>
    <rPh sb="1" eb="2">
      <t>ネン</t>
    </rPh>
    <rPh sb="4" eb="5">
      <t>ゲツ</t>
    </rPh>
    <phoneticPr fontId="2"/>
  </si>
  <si>
    <t>6年10ヶ月</t>
    <rPh sb="1" eb="2">
      <t>ネン</t>
    </rPh>
    <rPh sb="5" eb="6">
      <t>ゲツ</t>
    </rPh>
    <phoneticPr fontId="2"/>
  </si>
  <si>
    <t>6年11ヶ月</t>
    <rPh sb="1" eb="2">
      <t>ネン</t>
    </rPh>
    <rPh sb="5" eb="6">
      <t>ゲツ</t>
    </rPh>
    <phoneticPr fontId="2"/>
  </si>
  <si>
    <t>7年1ヶ月</t>
    <rPh sb="1" eb="2">
      <t>ネン</t>
    </rPh>
    <rPh sb="4" eb="5">
      <t>ゲツ</t>
    </rPh>
    <phoneticPr fontId="2"/>
  </si>
  <si>
    <t>7年2ヶ月</t>
    <rPh sb="1" eb="2">
      <t>ネン</t>
    </rPh>
    <rPh sb="4" eb="5">
      <t>ゲツ</t>
    </rPh>
    <phoneticPr fontId="2"/>
  </si>
  <si>
    <t>7年3ヶ月</t>
    <rPh sb="1" eb="2">
      <t>ネン</t>
    </rPh>
    <rPh sb="4" eb="5">
      <t>ゲツ</t>
    </rPh>
    <phoneticPr fontId="2"/>
  </si>
  <si>
    <t>7年4ヶ月</t>
    <rPh sb="1" eb="2">
      <t>ネン</t>
    </rPh>
    <rPh sb="4" eb="5">
      <t>ゲツ</t>
    </rPh>
    <phoneticPr fontId="2"/>
  </si>
  <si>
    <t>7年5ヶ月</t>
    <rPh sb="1" eb="2">
      <t>ネン</t>
    </rPh>
    <rPh sb="4" eb="5">
      <t>ゲツ</t>
    </rPh>
    <phoneticPr fontId="2"/>
  </si>
  <si>
    <t>7年6ヶ月</t>
    <rPh sb="1" eb="2">
      <t>ネン</t>
    </rPh>
    <rPh sb="4" eb="5">
      <t>ゲツ</t>
    </rPh>
    <phoneticPr fontId="2"/>
  </si>
  <si>
    <t>7年7ヶ月</t>
    <rPh sb="1" eb="2">
      <t>ネン</t>
    </rPh>
    <rPh sb="4" eb="5">
      <t>ゲツ</t>
    </rPh>
    <phoneticPr fontId="2"/>
  </si>
  <si>
    <t>7年8ヶ月</t>
    <rPh sb="1" eb="2">
      <t>ネン</t>
    </rPh>
    <rPh sb="4" eb="5">
      <t>ゲツ</t>
    </rPh>
    <phoneticPr fontId="2"/>
  </si>
  <si>
    <t>7年9ヶ月</t>
    <rPh sb="1" eb="2">
      <t>ネン</t>
    </rPh>
    <rPh sb="4" eb="5">
      <t>ゲツ</t>
    </rPh>
    <phoneticPr fontId="2"/>
  </si>
  <si>
    <t>7年10ヶ月</t>
    <rPh sb="1" eb="2">
      <t>ネン</t>
    </rPh>
    <rPh sb="5" eb="6">
      <t>ゲツ</t>
    </rPh>
    <phoneticPr fontId="2"/>
  </si>
  <si>
    <t>8年1ヶ月</t>
    <rPh sb="1" eb="2">
      <t>ネン</t>
    </rPh>
    <rPh sb="4" eb="5">
      <t>ゲツ</t>
    </rPh>
    <phoneticPr fontId="2"/>
  </si>
  <si>
    <t>8年2ヶ月</t>
    <rPh sb="1" eb="2">
      <t>ネン</t>
    </rPh>
    <rPh sb="4" eb="5">
      <t>ゲツ</t>
    </rPh>
    <phoneticPr fontId="2"/>
  </si>
  <si>
    <t>8年3ヶ月</t>
    <rPh sb="1" eb="2">
      <t>ネン</t>
    </rPh>
    <rPh sb="4" eb="5">
      <t>ゲツ</t>
    </rPh>
    <phoneticPr fontId="2"/>
  </si>
  <si>
    <t>8年4ヶ月</t>
    <rPh sb="1" eb="2">
      <t>ネン</t>
    </rPh>
    <rPh sb="4" eb="5">
      <t>ゲツ</t>
    </rPh>
    <phoneticPr fontId="2"/>
  </si>
  <si>
    <t>8年5ヶ月</t>
    <rPh sb="1" eb="2">
      <t>ネン</t>
    </rPh>
    <rPh sb="4" eb="5">
      <t>ゲツ</t>
    </rPh>
    <phoneticPr fontId="2"/>
  </si>
  <si>
    <t>8年6ヶ月</t>
    <rPh sb="1" eb="2">
      <t>ネン</t>
    </rPh>
    <rPh sb="4" eb="5">
      <t>ゲツ</t>
    </rPh>
    <phoneticPr fontId="2"/>
  </si>
  <si>
    <t>8年7ヶ月</t>
    <rPh sb="1" eb="2">
      <t>ネン</t>
    </rPh>
    <rPh sb="4" eb="5">
      <t>ゲツ</t>
    </rPh>
    <phoneticPr fontId="2"/>
  </si>
  <si>
    <t>8年8ヶ月</t>
    <rPh sb="1" eb="2">
      <t>ネン</t>
    </rPh>
    <rPh sb="4" eb="5">
      <t>ゲツ</t>
    </rPh>
    <phoneticPr fontId="2"/>
  </si>
  <si>
    <t>8年9ヶ月</t>
    <rPh sb="1" eb="2">
      <t>ネン</t>
    </rPh>
    <rPh sb="4" eb="5">
      <t>ゲツ</t>
    </rPh>
    <phoneticPr fontId="2"/>
  </si>
  <si>
    <t>8年11ヶ月</t>
    <rPh sb="1" eb="2">
      <t>ネン</t>
    </rPh>
    <rPh sb="5" eb="6">
      <t>ゲツ</t>
    </rPh>
    <phoneticPr fontId="2"/>
  </si>
  <si>
    <t>9年1ヶ月</t>
    <rPh sb="1" eb="2">
      <t>ネン</t>
    </rPh>
    <rPh sb="4" eb="5">
      <t>ゲツ</t>
    </rPh>
    <phoneticPr fontId="2"/>
  </si>
  <si>
    <t>9年2ヶ月</t>
    <rPh sb="1" eb="2">
      <t>ネン</t>
    </rPh>
    <rPh sb="4" eb="5">
      <t>ゲツ</t>
    </rPh>
    <phoneticPr fontId="2"/>
  </si>
  <si>
    <t>9年3ヶ月</t>
    <rPh sb="1" eb="2">
      <t>ネン</t>
    </rPh>
    <rPh sb="4" eb="5">
      <t>ゲツ</t>
    </rPh>
    <phoneticPr fontId="2"/>
  </si>
  <si>
    <t>9年4ヶ月</t>
    <rPh sb="1" eb="2">
      <t>ネン</t>
    </rPh>
    <rPh sb="4" eb="5">
      <t>ゲツ</t>
    </rPh>
    <phoneticPr fontId="2"/>
  </si>
  <si>
    <t>9年5ヶ月</t>
    <rPh sb="1" eb="2">
      <t>ネン</t>
    </rPh>
    <rPh sb="4" eb="5">
      <t>ゲツ</t>
    </rPh>
    <phoneticPr fontId="2"/>
  </si>
  <si>
    <t>9年6ヶ月</t>
    <rPh sb="1" eb="2">
      <t>ネン</t>
    </rPh>
    <rPh sb="4" eb="5">
      <t>ゲツ</t>
    </rPh>
    <phoneticPr fontId="2"/>
  </si>
  <si>
    <t>9年7ヶ月</t>
    <rPh sb="1" eb="2">
      <t>ネン</t>
    </rPh>
    <rPh sb="4" eb="5">
      <t>ゲツ</t>
    </rPh>
    <phoneticPr fontId="2"/>
  </si>
  <si>
    <t>9年8ヶ月</t>
    <rPh sb="1" eb="2">
      <t>ネン</t>
    </rPh>
    <rPh sb="4" eb="5">
      <t>ゲツ</t>
    </rPh>
    <phoneticPr fontId="2"/>
  </si>
  <si>
    <t>10年1ヶ月</t>
    <rPh sb="2" eb="3">
      <t>ネン</t>
    </rPh>
    <rPh sb="5" eb="6">
      <t>ゲツ</t>
    </rPh>
    <phoneticPr fontId="2"/>
  </si>
  <si>
    <t>10年2ヶ月</t>
    <rPh sb="2" eb="3">
      <t>ネン</t>
    </rPh>
    <rPh sb="5" eb="6">
      <t>ゲツ</t>
    </rPh>
    <phoneticPr fontId="2"/>
  </si>
  <si>
    <t>10年3ヶ月</t>
    <rPh sb="2" eb="3">
      <t>ネン</t>
    </rPh>
    <rPh sb="5" eb="6">
      <t>ゲツ</t>
    </rPh>
    <phoneticPr fontId="2"/>
  </si>
  <si>
    <t>10年4ヶ月</t>
    <rPh sb="2" eb="3">
      <t>ネン</t>
    </rPh>
    <rPh sb="5" eb="6">
      <t>ゲツ</t>
    </rPh>
    <phoneticPr fontId="2"/>
  </si>
  <si>
    <t>10年5ヶ月</t>
    <rPh sb="2" eb="3">
      <t>ネン</t>
    </rPh>
    <rPh sb="5" eb="6">
      <t>ゲツ</t>
    </rPh>
    <phoneticPr fontId="2"/>
  </si>
  <si>
    <t>10年6ヶ月</t>
    <rPh sb="2" eb="3">
      <t>ネン</t>
    </rPh>
    <rPh sb="5" eb="6">
      <t>ゲツ</t>
    </rPh>
    <phoneticPr fontId="2"/>
  </si>
  <si>
    <t>10年7ヶ月</t>
    <rPh sb="2" eb="3">
      <t>ネン</t>
    </rPh>
    <rPh sb="5" eb="6">
      <t>ゲツ</t>
    </rPh>
    <phoneticPr fontId="2"/>
  </si>
  <si>
    <t>10年8ヶ月</t>
    <rPh sb="2" eb="3">
      <t>ネン</t>
    </rPh>
    <rPh sb="5" eb="6">
      <t>ゲツ</t>
    </rPh>
    <phoneticPr fontId="2"/>
  </si>
  <si>
    <t>10年9ヶ月</t>
    <rPh sb="2" eb="3">
      <t>ネン</t>
    </rPh>
    <rPh sb="5" eb="6">
      <t>ゲツ</t>
    </rPh>
    <phoneticPr fontId="2"/>
  </si>
  <si>
    <t>10年11ヶ月</t>
    <rPh sb="2" eb="3">
      <t>ネン</t>
    </rPh>
    <rPh sb="6" eb="7">
      <t>ゲツ</t>
    </rPh>
    <phoneticPr fontId="2"/>
  </si>
  <si>
    <t>11年1ヶ月</t>
    <rPh sb="2" eb="3">
      <t>ネン</t>
    </rPh>
    <rPh sb="5" eb="6">
      <t>ゲツ</t>
    </rPh>
    <phoneticPr fontId="2"/>
  </si>
  <si>
    <t>11年2ヶ月</t>
    <rPh sb="2" eb="3">
      <t>ネン</t>
    </rPh>
    <rPh sb="5" eb="6">
      <t>ゲツ</t>
    </rPh>
    <phoneticPr fontId="2"/>
  </si>
  <si>
    <t>11年3ヶ月</t>
    <rPh sb="2" eb="3">
      <t>ネン</t>
    </rPh>
    <rPh sb="5" eb="6">
      <t>ゲツ</t>
    </rPh>
    <phoneticPr fontId="2"/>
  </si>
  <si>
    <t>11年4ヶ月</t>
    <rPh sb="2" eb="3">
      <t>ネン</t>
    </rPh>
    <rPh sb="5" eb="6">
      <t>ゲツ</t>
    </rPh>
    <phoneticPr fontId="2"/>
  </si>
  <si>
    <t>11年5ヶ月</t>
    <rPh sb="2" eb="3">
      <t>ネン</t>
    </rPh>
    <rPh sb="5" eb="6">
      <t>ゲツ</t>
    </rPh>
    <phoneticPr fontId="2"/>
  </si>
  <si>
    <t>11年6ヶ月</t>
    <rPh sb="2" eb="3">
      <t>ネン</t>
    </rPh>
    <rPh sb="5" eb="6">
      <t>ゲツ</t>
    </rPh>
    <phoneticPr fontId="2"/>
  </si>
  <si>
    <t>11年7ヶ月</t>
    <rPh sb="2" eb="3">
      <t>ネン</t>
    </rPh>
    <rPh sb="5" eb="6">
      <t>ゲツ</t>
    </rPh>
    <phoneticPr fontId="2"/>
  </si>
  <si>
    <t>11年8ヶ月</t>
    <rPh sb="2" eb="3">
      <t>ネン</t>
    </rPh>
    <rPh sb="5" eb="6">
      <t>ゲツ</t>
    </rPh>
    <phoneticPr fontId="2"/>
  </si>
  <si>
    <t>11年9ヶ月</t>
    <rPh sb="2" eb="3">
      <t>ネン</t>
    </rPh>
    <rPh sb="5" eb="6">
      <t>ゲツ</t>
    </rPh>
    <phoneticPr fontId="2"/>
  </si>
  <si>
    <t>11年11ヶ月</t>
    <rPh sb="2" eb="3">
      <t>ネン</t>
    </rPh>
    <rPh sb="6" eb="7">
      <t>ゲツ</t>
    </rPh>
    <phoneticPr fontId="2"/>
  </si>
  <si>
    <t>12年1ヶ月</t>
    <rPh sb="2" eb="3">
      <t>ネン</t>
    </rPh>
    <rPh sb="5" eb="6">
      <t>ゲツ</t>
    </rPh>
    <phoneticPr fontId="2"/>
  </si>
  <si>
    <t>12年2ヶ月</t>
    <rPh sb="2" eb="3">
      <t>ネン</t>
    </rPh>
    <rPh sb="5" eb="6">
      <t>ゲツ</t>
    </rPh>
    <phoneticPr fontId="2"/>
  </si>
  <si>
    <t>12年3ヶ月</t>
    <rPh sb="2" eb="3">
      <t>ネン</t>
    </rPh>
    <rPh sb="5" eb="6">
      <t>ゲツ</t>
    </rPh>
    <phoneticPr fontId="2"/>
  </si>
  <si>
    <t>12年4ヶ月</t>
    <rPh sb="2" eb="3">
      <t>ネン</t>
    </rPh>
    <rPh sb="5" eb="6">
      <t>ゲツ</t>
    </rPh>
    <phoneticPr fontId="2"/>
  </si>
  <si>
    <t>12年5ヶ月</t>
    <rPh sb="2" eb="3">
      <t>ネン</t>
    </rPh>
    <rPh sb="5" eb="6">
      <t>ゲツ</t>
    </rPh>
    <phoneticPr fontId="2"/>
  </si>
  <si>
    <t>12年6ヶ月</t>
    <rPh sb="2" eb="3">
      <t>ネン</t>
    </rPh>
    <rPh sb="5" eb="6">
      <t>ゲツ</t>
    </rPh>
    <phoneticPr fontId="2"/>
  </si>
  <si>
    <t>12年7ヶ月</t>
    <rPh sb="2" eb="3">
      <t>ネン</t>
    </rPh>
    <rPh sb="5" eb="6">
      <t>ゲツ</t>
    </rPh>
    <phoneticPr fontId="2"/>
  </si>
  <si>
    <t>12年9ヶ月</t>
    <rPh sb="2" eb="3">
      <t>ネン</t>
    </rPh>
    <rPh sb="5" eb="6">
      <t>ゲツ</t>
    </rPh>
    <phoneticPr fontId="2"/>
  </si>
  <si>
    <t>12年10ヶ月</t>
    <rPh sb="2" eb="3">
      <t>ネン</t>
    </rPh>
    <rPh sb="6" eb="7">
      <t>ゲツ</t>
    </rPh>
    <phoneticPr fontId="2"/>
  </si>
  <si>
    <t>12年11ヶ月</t>
    <rPh sb="2" eb="3">
      <t>ネン</t>
    </rPh>
    <rPh sb="6" eb="7">
      <t>ゲツ</t>
    </rPh>
    <phoneticPr fontId="2"/>
  </si>
  <si>
    <t>13年1ヶ月</t>
    <rPh sb="2" eb="3">
      <t>ネン</t>
    </rPh>
    <rPh sb="5" eb="6">
      <t>ゲツ</t>
    </rPh>
    <phoneticPr fontId="2"/>
  </si>
  <si>
    <t>13年2ヶ月</t>
    <rPh sb="2" eb="3">
      <t>ネン</t>
    </rPh>
    <rPh sb="5" eb="6">
      <t>ゲツ</t>
    </rPh>
    <phoneticPr fontId="2"/>
  </si>
  <si>
    <t>13年3ヶ月</t>
    <rPh sb="2" eb="3">
      <t>ネン</t>
    </rPh>
    <rPh sb="5" eb="6">
      <t>ゲツ</t>
    </rPh>
    <phoneticPr fontId="2"/>
  </si>
  <si>
    <t>13年4ヶ月</t>
    <rPh sb="2" eb="3">
      <t>ネン</t>
    </rPh>
    <rPh sb="5" eb="6">
      <t>ゲツ</t>
    </rPh>
    <phoneticPr fontId="2"/>
  </si>
  <si>
    <t>13年5ヶ月</t>
    <rPh sb="2" eb="3">
      <t>ネン</t>
    </rPh>
    <rPh sb="5" eb="6">
      <t>ゲツ</t>
    </rPh>
    <phoneticPr fontId="2"/>
  </si>
  <si>
    <t>13年6ヶ月</t>
    <rPh sb="2" eb="3">
      <t>ネン</t>
    </rPh>
    <rPh sb="5" eb="6">
      <t>ゲツ</t>
    </rPh>
    <phoneticPr fontId="2"/>
  </si>
  <si>
    <t>13年7ヶ月</t>
    <rPh sb="2" eb="3">
      <t>ネン</t>
    </rPh>
    <rPh sb="5" eb="6">
      <t>ゲツ</t>
    </rPh>
    <phoneticPr fontId="2"/>
  </si>
  <si>
    <t>13年8ヶ月</t>
    <rPh sb="2" eb="3">
      <t>ネン</t>
    </rPh>
    <rPh sb="5" eb="6">
      <t>ゲツ</t>
    </rPh>
    <phoneticPr fontId="2"/>
  </si>
  <si>
    <t>13年9ヶ月</t>
    <rPh sb="2" eb="3">
      <t>ネン</t>
    </rPh>
    <rPh sb="5" eb="6">
      <t>ゲツ</t>
    </rPh>
    <phoneticPr fontId="2"/>
  </si>
  <si>
    <t>13年10ヶ月</t>
    <rPh sb="2" eb="3">
      <t>ネン</t>
    </rPh>
    <rPh sb="6" eb="7">
      <t>ゲツ</t>
    </rPh>
    <phoneticPr fontId="2"/>
  </si>
  <si>
    <t>13年11ヶ月</t>
    <rPh sb="2" eb="3">
      <t>ネン</t>
    </rPh>
    <rPh sb="6" eb="7">
      <t>ゲツ</t>
    </rPh>
    <phoneticPr fontId="2"/>
  </si>
  <si>
    <t>14年1ヶ月</t>
    <rPh sb="2" eb="3">
      <t>ネン</t>
    </rPh>
    <rPh sb="5" eb="6">
      <t>ゲツ</t>
    </rPh>
    <phoneticPr fontId="2"/>
  </si>
  <si>
    <t>14年2ヶ月</t>
    <rPh sb="2" eb="3">
      <t>ネン</t>
    </rPh>
    <rPh sb="5" eb="6">
      <t>ゲツ</t>
    </rPh>
    <phoneticPr fontId="2"/>
  </si>
  <si>
    <t>14年3ヶ月</t>
    <rPh sb="2" eb="3">
      <t>ネン</t>
    </rPh>
    <rPh sb="5" eb="6">
      <t>ゲツ</t>
    </rPh>
    <phoneticPr fontId="2"/>
  </si>
  <si>
    <t>14年4ヶ月</t>
    <rPh sb="2" eb="3">
      <t>ネン</t>
    </rPh>
    <rPh sb="5" eb="6">
      <t>ゲツ</t>
    </rPh>
    <phoneticPr fontId="2"/>
  </si>
  <si>
    <t>14年5ヶ月</t>
    <rPh sb="2" eb="3">
      <t>ネン</t>
    </rPh>
    <rPh sb="5" eb="6">
      <t>ゲツ</t>
    </rPh>
    <phoneticPr fontId="2"/>
  </si>
  <si>
    <t>14年6ヶ月</t>
    <rPh sb="2" eb="3">
      <t>ネン</t>
    </rPh>
    <rPh sb="5" eb="6">
      <t>ゲツ</t>
    </rPh>
    <phoneticPr fontId="2"/>
  </si>
  <si>
    <t>14年7ヶ月</t>
    <rPh sb="2" eb="3">
      <t>ネン</t>
    </rPh>
    <rPh sb="5" eb="6">
      <t>ゲツ</t>
    </rPh>
    <phoneticPr fontId="2"/>
  </si>
  <si>
    <t>14年8ヶ月</t>
    <rPh sb="2" eb="3">
      <t>ネン</t>
    </rPh>
    <rPh sb="5" eb="6">
      <t>ゲツ</t>
    </rPh>
    <phoneticPr fontId="2"/>
  </si>
  <si>
    <t>14年9ヶ月</t>
    <rPh sb="2" eb="3">
      <t>ネン</t>
    </rPh>
    <rPh sb="5" eb="6">
      <t>ゲツ</t>
    </rPh>
    <phoneticPr fontId="2"/>
  </si>
  <si>
    <t>14年10ヶ月</t>
    <rPh sb="2" eb="3">
      <t>ネン</t>
    </rPh>
    <rPh sb="6" eb="7">
      <t>ゲツ</t>
    </rPh>
    <phoneticPr fontId="2"/>
  </si>
  <si>
    <t>14年11ヶ月</t>
    <rPh sb="2" eb="3">
      <t>ネン</t>
    </rPh>
    <rPh sb="6" eb="7">
      <t>ゲツ</t>
    </rPh>
    <phoneticPr fontId="2"/>
  </si>
  <si>
    <t>15年1ヶ月</t>
    <rPh sb="2" eb="3">
      <t>ネン</t>
    </rPh>
    <rPh sb="5" eb="6">
      <t>ゲツ</t>
    </rPh>
    <phoneticPr fontId="2"/>
  </si>
  <si>
    <t>15年2ヶ月</t>
    <rPh sb="2" eb="3">
      <t>ネン</t>
    </rPh>
    <rPh sb="5" eb="6">
      <t>ゲツ</t>
    </rPh>
    <phoneticPr fontId="2"/>
  </si>
  <si>
    <t>15年3ヶ月</t>
    <rPh sb="2" eb="3">
      <t>ネン</t>
    </rPh>
    <rPh sb="5" eb="6">
      <t>ゲツ</t>
    </rPh>
    <phoneticPr fontId="2"/>
  </si>
  <si>
    <t>15年4ヶ月</t>
    <rPh sb="2" eb="3">
      <t>ネン</t>
    </rPh>
    <rPh sb="5" eb="6">
      <t>ゲツ</t>
    </rPh>
    <phoneticPr fontId="2"/>
  </si>
  <si>
    <t>15年5ヶ月</t>
    <rPh sb="2" eb="3">
      <t>ネン</t>
    </rPh>
    <rPh sb="5" eb="6">
      <t>ゲツ</t>
    </rPh>
    <phoneticPr fontId="2"/>
  </si>
  <si>
    <t>15年6ヶ月</t>
    <rPh sb="2" eb="3">
      <t>ネン</t>
    </rPh>
    <rPh sb="5" eb="6">
      <t>ゲツ</t>
    </rPh>
    <phoneticPr fontId="2"/>
  </si>
  <si>
    <t>15年7ヶ月</t>
    <rPh sb="2" eb="3">
      <t>ネン</t>
    </rPh>
    <rPh sb="5" eb="6">
      <t>ゲツ</t>
    </rPh>
    <phoneticPr fontId="2"/>
  </si>
  <si>
    <t>15年8ヶ月</t>
    <rPh sb="2" eb="3">
      <t>ネン</t>
    </rPh>
    <rPh sb="5" eb="6">
      <t>ゲツ</t>
    </rPh>
    <phoneticPr fontId="2"/>
  </si>
  <si>
    <t>15年9ヶ月</t>
    <rPh sb="2" eb="3">
      <t>ネン</t>
    </rPh>
    <rPh sb="5" eb="6">
      <t>ゲツ</t>
    </rPh>
    <phoneticPr fontId="2"/>
  </si>
  <si>
    <t>15年10ヶ月</t>
    <rPh sb="2" eb="3">
      <t>ネン</t>
    </rPh>
    <rPh sb="6" eb="7">
      <t>ゲツ</t>
    </rPh>
    <phoneticPr fontId="2"/>
  </si>
  <si>
    <t>15年11ヶ月</t>
    <rPh sb="2" eb="3">
      <t>ネン</t>
    </rPh>
    <rPh sb="6" eb="7">
      <t>ゲツ</t>
    </rPh>
    <phoneticPr fontId="2"/>
  </si>
  <si>
    <t>16年0ヶ月</t>
    <rPh sb="2" eb="3">
      <t>ネン</t>
    </rPh>
    <rPh sb="5" eb="6">
      <t>ゲツ</t>
    </rPh>
    <phoneticPr fontId="2"/>
  </si>
  <si>
    <t>16年1ヶ月</t>
    <rPh sb="2" eb="3">
      <t>ネン</t>
    </rPh>
    <rPh sb="5" eb="6">
      <t>ゲツ</t>
    </rPh>
    <phoneticPr fontId="2"/>
  </si>
  <si>
    <t>16年2ヶ月</t>
    <rPh sb="2" eb="3">
      <t>ネン</t>
    </rPh>
    <rPh sb="5" eb="6">
      <t>ゲツ</t>
    </rPh>
    <phoneticPr fontId="2"/>
  </si>
  <si>
    <t>16年3ヶ月</t>
    <rPh sb="2" eb="3">
      <t>ネン</t>
    </rPh>
    <rPh sb="5" eb="6">
      <t>ゲツ</t>
    </rPh>
    <phoneticPr fontId="2"/>
  </si>
  <si>
    <t>16年4ヶ月</t>
    <rPh sb="2" eb="3">
      <t>ネン</t>
    </rPh>
    <rPh sb="5" eb="6">
      <t>ゲツ</t>
    </rPh>
    <phoneticPr fontId="2"/>
  </si>
  <si>
    <t>16年5ヶ月</t>
    <rPh sb="2" eb="3">
      <t>ネン</t>
    </rPh>
    <rPh sb="5" eb="6">
      <t>ゲツ</t>
    </rPh>
    <phoneticPr fontId="2"/>
  </si>
  <si>
    <t>16年6ヶ月</t>
    <rPh sb="2" eb="3">
      <t>ネン</t>
    </rPh>
    <rPh sb="5" eb="6">
      <t>ゲツ</t>
    </rPh>
    <phoneticPr fontId="2"/>
  </si>
  <si>
    <t>16年7ヶ月</t>
    <rPh sb="2" eb="3">
      <t>ネン</t>
    </rPh>
    <rPh sb="5" eb="6">
      <t>ゲツ</t>
    </rPh>
    <phoneticPr fontId="2"/>
  </si>
  <si>
    <t>16年8ヶ月</t>
    <rPh sb="2" eb="3">
      <t>ネン</t>
    </rPh>
    <rPh sb="5" eb="6">
      <t>ゲツ</t>
    </rPh>
    <phoneticPr fontId="2"/>
  </si>
  <si>
    <t>16年9ヶ月</t>
    <rPh sb="2" eb="3">
      <t>ネン</t>
    </rPh>
    <rPh sb="5" eb="6">
      <t>ゲツ</t>
    </rPh>
    <phoneticPr fontId="2"/>
  </si>
  <si>
    <t>16年10ヶ月</t>
    <rPh sb="2" eb="3">
      <t>ネン</t>
    </rPh>
    <rPh sb="6" eb="7">
      <t>ゲツ</t>
    </rPh>
    <phoneticPr fontId="2"/>
  </si>
  <si>
    <t>16年11ヶ月</t>
    <rPh sb="2" eb="3">
      <t>ネン</t>
    </rPh>
    <rPh sb="6" eb="7">
      <t>ゲツ</t>
    </rPh>
    <phoneticPr fontId="2"/>
  </si>
  <si>
    <t>17年0ヶ月</t>
    <rPh sb="2" eb="3">
      <t>ネン</t>
    </rPh>
    <rPh sb="5" eb="6">
      <t>ゲツ</t>
    </rPh>
    <phoneticPr fontId="2"/>
  </si>
  <si>
    <t>17年1ヶ月</t>
    <rPh sb="2" eb="3">
      <t>ネン</t>
    </rPh>
    <rPh sb="5" eb="6">
      <t>ゲツ</t>
    </rPh>
    <phoneticPr fontId="2"/>
  </si>
  <si>
    <t>17年2ヶ月</t>
    <rPh sb="2" eb="3">
      <t>ネン</t>
    </rPh>
    <rPh sb="5" eb="6">
      <t>ゲツ</t>
    </rPh>
    <phoneticPr fontId="2"/>
  </si>
  <si>
    <t>17年3ヶ月</t>
    <rPh sb="2" eb="3">
      <t>ネン</t>
    </rPh>
    <rPh sb="5" eb="6">
      <t>ゲツ</t>
    </rPh>
    <phoneticPr fontId="2"/>
  </si>
  <si>
    <t>17年4ヶ月</t>
    <rPh sb="2" eb="3">
      <t>ネン</t>
    </rPh>
    <rPh sb="5" eb="6">
      <t>ゲツ</t>
    </rPh>
    <phoneticPr fontId="2"/>
  </si>
  <si>
    <t>17年5ヶ月</t>
    <rPh sb="2" eb="3">
      <t>ネン</t>
    </rPh>
    <rPh sb="5" eb="6">
      <t>ゲツ</t>
    </rPh>
    <phoneticPr fontId="2"/>
  </si>
  <si>
    <t>17年6ヶ月</t>
    <rPh sb="2" eb="3">
      <t>ネン</t>
    </rPh>
    <rPh sb="5" eb="6">
      <t>ゲツ</t>
    </rPh>
    <phoneticPr fontId="2"/>
  </si>
  <si>
    <t>17年7ヶ月</t>
    <rPh sb="2" eb="3">
      <t>ネン</t>
    </rPh>
    <rPh sb="5" eb="6">
      <t>ゲツ</t>
    </rPh>
    <phoneticPr fontId="2"/>
  </si>
  <si>
    <t>17年8ヶ月</t>
    <rPh sb="2" eb="3">
      <t>ネン</t>
    </rPh>
    <rPh sb="5" eb="6">
      <t>ゲツ</t>
    </rPh>
    <phoneticPr fontId="2"/>
  </si>
  <si>
    <t>17年9ヶ月</t>
    <rPh sb="2" eb="3">
      <t>ネン</t>
    </rPh>
    <rPh sb="5" eb="6">
      <t>ゲツ</t>
    </rPh>
    <phoneticPr fontId="2"/>
  </si>
  <si>
    <t>17年10ヶ月</t>
    <rPh sb="2" eb="3">
      <t>ネン</t>
    </rPh>
    <rPh sb="6" eb="7">
      <t>ゲツ</t>
    </rPh>
    <phoneticPr fontId="2"/>
  </si>
  <si>
    <t>17年11ヶ月</t>
    <rPh sb="2" eb="3">
      <t>ネン</t>
    </rPh>
    <rPh sb="6" eb="7">
      <t>ゲツ</t>
    </rPh>
    <phoneticPr fontId="2"/>
  </si>
  <si>
    <t>18年0ヶ月</t>
    <rPh sb="2" eb="3">
      <t>ネン</t>
    </rPh>
    <rPh sb="5" eb="6">
      <t>ゲツ</t>
    </rPh>
    <phoneticPr fontId="2"/>
  </si>
  <si>
    <t>18年1ヶ月</t>
    <rPh sb="2" eb="3">
      <t>ネン</t>
    </rPh>
    <rPh sb="5" eb="6">
      <t>ゲツ</t>
    </rPh>
    <phoneticPr fontId="2"/>
  </si>
  <si>
    <t>18年2ヶ月</t>
    <rPh sb="2" eb="3">
      <t>ネン</t>
    </rPh>
    <rPh sb="5" eb="6">
      <t>ゲツ</t>
    </rPh>
    <phoneticPr fontId="2"/>
  </si>
  <si>
    <t>18年3ヶ月</t>
    <rPh sb="2" eb="3">
      <t>ネン</t>
    </rPh>
    <rPh sb="5" eb="6">
      <t>ゲツ</t>
    </rPh>
    <phoneticPr fontId="2"/>
  </si>
  <si>
    <t>18年4ヶ月</t>
    <rPh sb="2" eb="3">
      <t>ネン</t>
    </rPh>
    <rPh sb="5" eb="6">
      <t>ゲツ</t>
    </rPh>
    <phoneticPr fontId="2"/>
  </si>
  <si>
    <t>18年5ヶ月</t>
    <rPh sb="2" eb="3">
      <t>ネン</t>
    </rPh>
    <rPh sb="5" eb="6">
      <t>ゲツ</t>
    </rPh>
    <phoneticPr fontId="2"/>
  </si>
  <si>
    <t>18年6ヶ月</t>
    <rPh sb="2" eb="3">
      <t>ネン</t>
    </rPh>
    <rPh sb="5" eb="6">
      <t>ゲツ</t>
    </rPh>
    <phoneticPr fontId="2"/>
  </si>
  <si>
    <t>18年7ヶ月</t>
    <rPh sb="2" eb="3">
      <t>ネン</t>
    </rPh>
    <rPh sb="5" eb="6">
      <t>ゲツ</t>
    </rPh>
    <phoneticPr fontId="2"/>
  </si>
  <si>
    <t>18年8ヶ月</t>
    <rPh sb="2" eb="3">
      <t>ネン</t>
    </rPh>
    <rPh sb="5" eb="6">
      <t>ゲツ</t>
    </rPh>
    <phoneticPr fontId="2"/>
  </si>
  <si>
    <t>18年9ヶ月</t>
    <rPh sb="2" eb="3">
      <t>ネン</t>
    </rPh>
    <rPh sb="5" eb="6">
      <t>ゲツ</t>
    </rPh>
    <phoneticPr fontId="2"/>
  </si>
  <si>
    <t>18年10ヶ月</t>
    <rPh sb="2" eb="3">
      <t>ネン</t>
    </rPh>
    <rPh sb="6" eb="7">
      <t>ゲツ</t>
    </rPh>
    <phoneticPr fontId="2"/>
  </si>
  <si>
    <t>18年11ヶ月</t>
    <rPh sb="2" eb="3">
      <t>ネン</t>
    </rPh>
    <rPh sb="6" eb="7">
      <t>ゲツ</t>
    </rPh>
    <phoneticPr fontId="2"/>
  </si>
  <si>
    <t>19年0ヶ月</t>
    <rPh sb="2" eb="3">
      <t>ネン</t>
    </rPh>
    <rPh sb="5" eb="6">
      <t>ゲツ</t>
    </rPh>
    <phoneticPr fontId="2"/>
  </si>
  <si>
    <t>19年1ヶ月</t>
    <rPh sb="2" eb="3">
      <t>ネン</t>
    </rPh>
    <rPh sb="5" eb="6">
      <t>ゲツ</t>
    </rPh>
    <phoneticPr fontId="2"/>
  </si>
  <si>
    <t>19年2ヶ月</t>
    <rPh sb="2" eb="3">
      <t>ネン</t>
    </rPh>
    <rPh sb="5" eb="6">
      <t>ゲツ</t>
    </rPh>
    <phoneticPr fontId="2"/>
  </si>
  <si>
    <t>19年3ヶ月</t>
    <rPh sb="2" eb="3">
      <t>ネン</t>
    </rPh>
    <rPh sb="5" eb="6">
      <t>ゲツ</t>
    </rPh>
    <phoneticPr fontId="2"/>
  </si>
  <si>
    <t>19年4ヶ月</t>
    <rPh sb="2" eb="3">
      <t>ネン</t>
    </rPh>
    <rPh sb="5" eb="6">
      <t>ゲツ</t>
    </rPh>
    <phoneticPr fontId="2"/>
  </si>
  <si>
    <t>19年5ヶ月</t>
    <rPh sb="2" eb="3">
      <t>ネン</t>
    </rPh>
    <rPh sb="5" eb="6">
      <t>ゲツ</t>
    </rPh>
    <phoneticPr fontId="2"/>
  </si>
  <si>
    <t>19年6ヶ月</t>
    <rPh sb="2" eb="3">
      <t>ネン</t>
    </rPh>
    <rPh sb="5" eb="6">
      <t>ゲツ</t>
    </rPh>
    <phoneticPr fontId="2"/>
  </si>
  <si>
    <t>19年7ヶ月</t>
    <rPh sb="2" eb="3">
      <t>ネン</t>
    </rPh>
    <rPh sb="5" eb="6">
      <t>ゲツ</t>
    </rPh>
    <phoneticPr fontId="2"/>
  </si>
  <si>
    <t>19年8ヶ月</t>
    <rPh sb="2" eb="3">
      <t>ネン</t>
    </rPh>
    <rPh sb="5" eb="6">
      <t>ゲツ</t>
    </rPh>
    <phoneticPr fontId="2"/>
  </si>
  <si>
    <t>19年9ヶ月</t>
    <rPh sb="2" eb="3">
      <t>ネン</t>
    </rPh>
    <rPh sb="5" eb="6">
      <t>ゲツ</t>
    </rPh>
    <phoneticPr fontId="2"/>
  </si>
  <si>
    <t>19年10ヶ月</t>
    <rPh sb="2" eb="3">
      <t>ネン</t>
    </rPh>
    <rPh sb="6" eb="7">
      <t>ゲツ</t>
    </rPh>
    <phoneticPr fontId="2"/>
  </si>
  <si>
    <t>19年11ヶ月</t>
    <rPh sb="2" eb="3">
      <t>ネン</t>
    </rPh>
    <rPh sb="6" eb="7">
      <t>ゲツ</t>
    </rPh>
    <phoneticPr fontId="2"/>
  </si>
  <si>
    <t>20年0ヶ月</t>
    <rPh sb="2" eb="3">
      <t>ネン</t>
    </rPh>
    <rPh sb="5" eb="6">
      <t>ゲツ</t>
    </rPh>
    <phoneticPr fontId="2"/>
  </si>
  <si>
    <t>20年1ヶ月</t>
    <rPh sb="2" eb="3">
      <t>ネン</t>
    </rPh>
    <rPh sb="5" eb="6">
      <t>ゲツ</t>
    </rPh>
    <phoneticPr fontId="2"/>
  </si>
  <si>
    <t>20年2ヶ月</t>
    <rPh sb="2" eb="3">
      <t>ネン</t>
    </rPh>
    <rPh sb="5" eb="6">
      <t>ゲツ</t>
    </rPh>
    <phoneticPr fontId="2"/>
  </si>
  <si>
    <t>20年3ヶ月</t>
    <rPh sb="2" eb="3">
      <t>ネン</t>
    </rPh>
    <rPh sb="5" eb="6">
      <t>ゲツ</t>
    </rPh>
    <phoneticPr fontId="2"/>
  </si>
  <si>
    <t>20年4ヶ月</t>
    <rPh sb="2" eb="3">
      <t>ネン</t>
    </rPh>
    <rPh sb="5" eb="6">
      <t>ゲツ</t>
    </rPh>
    <phoneticPr fontId="2"/>
  </si>
  <si>
    <t>20年5ヶ月</t>
    <rPh sb="2" eb="3">
      <t>ネン</t>
    </rPh>
    <rPh sb="5" eb="6">
      <t>ゲツ</t>
    </rPh>
    <phoneticPr fontId="2"/>
  </si>
  <si>
    <t>20年6ヶ月</t>
    <rPh sb="2" eb="3">
      <t>ネン</t>
    </rPh>
    <rPh sb="5" eb="6">
      <t>ゲツ</t>
    </rPh>
    <phoneticPr fontId="2"/>
  </si>
  <si>
    <t>20年7ヶ月</t>
    <rPh sb="2" eb="3">
      <t>ネン</t>
    </rPh>
    <rPh sb="5" eb="6">
      <t>ゲツ</t>
    </rPh>
    <phoneticPr fontId="2"/>
  </si>
  <si>
    <t>20年8ヶ月</t>
    <rPh sb="2" eb="3">
      <t>ネン</t>
    </rPh>
    <rPh sb="5" eb="6">
      <t>ゲツ</t>
    </rPh>
    <phoneticPr fontId="2"/>
  </si>
  <si>
    <t>20年9ヶ月</t>
    <rPh sb="2" eb="3">
      <t>ネン</t>
    </rPh>
    <rPh sb="5" eb="6">
      <t>ゲツ</t>
    </rPh>
    <phoneticPr fontId="2"/>
  </si>
  <si>
    <t>20年10ヶ月</t>
    <rPh sb="2" eb="3">
      <t>ネン</t>
    </rPh>
    <rPh sb="6" eb="7">
      <t>ゲツ</t>
    </rPh>
    <phoneticPr fontId="2"/>
  </si>
  <si>
    <t>20年11ヶ月</t>
    <rPh sb="2" eb="3">
      <t>ネン</t>
    </rPh>
    <rPh sb="6" eb="7">
      <t>ゲツ</t>
    </rPh>
    <phoneticPr fontId="2"/>
  </si>
  <si>
    <t>21年0ヶ月</t>
    <rPh sb="2" eb="3">
      <t>ネン</t>
    </rPh>
    <rPh sb="5" eb="6">
      <t>ゲツ</t>
    </rPh>
    <phoneticPr fontId="2"/>
  </si>
  <si>
    <t>21年1ヶ月</t>
    <rPh sb="2" eb="3">
      <t>ネン</t>
    </rPh>
    <rPh sb="5" eb="6">
      <t>ゲツ</t>
    </rPh>
    <phoneticPr fontId="2"/>
  </si>
  <si>
    <t>21年2ヶ月</t>
    <rPh sb="2" eb="3">
      <t>ネン</t>
    </rPh>
    <rPh sb="5" eb="6">
      <t>ゲツ</t>
    </rPh>
    <phoneticPr fontId="2"/>
  </si>
  <si>
    <t>21年3ヶ月</t>
    <rPh sb="2" eb="3">
      <t>ネン</t>
    </rPh>
    <rPh sb="5" eb="6">
      <t>ゲツ</t>
    </rPh>
    <phoneticPr fontId="2"/>
  </si>
  <si>
    <t>21年4ヶ月</t>
    <rPh sb="2" eb="3">
      <t>ネン</t>
    </rPh>
    <rPh sb="5" eb="6">
      <t>ゲツ</t>
    </rPh>
    <phoneticPr fontId="2"/>
  </si>
  <si>
    <t>21年5ヶ月</t>
    <rPh sb="2" eb="3">
      <t>ネン</t>
    </rPh>
    <rPh sb="5" eb="6">
      <t>ゲツ</t>
    </rPh>
    <phoneticPr fontId="2"/>
  </si>
  <si>
    <t>21年6ヶ月</t>
    <rPh sb="2" eb="3">
      <t>ネン</t>
    </rPh>
    <rPh sb="5" eb="6">
      <t>ゲツ</t>
    </rPh>
    <phoneticPr fontId="2"/>
  </si>
  <si>
    <t>21年7ヶ月</t>
    <rPh sb="2" eb="3">
      <t>ネン</t>
    </rPh>
    <rPh sb="5" eb="6">
      <t>ゲツ</t>
    </rPh>
    <phoneticPr fontId="2"/>
  </si>
  <si>
    <t>21年8ヶ月</t>
    <rPh sb="2" eb="3">
      <t>ネン</t>
    </rPh>
    <rPh sb="5" eb="6">
      <t>ゲツ</t>
    </rPh>
    <phoneticPr fontId="2"/>
  </si>
  <si>
    <t>21年9ヶ月</t>
    <rPh sb="2" eb="3">
      <t>ネン</t>
    </rPh>
    <rPh sb="5" eb="6">
      <t>ゲツ</t>
    </rPh>
    <phoneticPr fontId="2"/>
  </si>
  <si>
    <t>21年10ヶ月</t>
    <rPh sb="2" eb="3">
      <t>ネン</t>
    </rPh>
    <rPh sb="6" eb="7">
      <t>ゲツ</t>
    </rPh>
    <phoneticPr fontId="2"/>
  </si>
  <si>
    <t>21年11ヶ月</t>
    <rPh sb="2" eb="3">
      <t>ネン</t>
    </rPh>
    <rPh sb="6" eb="7">
      <t>ゲツ</t>
    </rPh>
    <phoneticPr fontId="2"/>
  </si>
  <si>
    <t>22年0ヶ月</t>
    <rPh sb="2" eb="3">
      <t>ネン</t>
    </rPh>
    <rPh sb="5" eb="6">
      <t>ゲツ</t>
    </rPh>
    <phoneticPr fontId="2"/>
  </si>
  <si>
    <t>22年1ヶ月</t>
    <rPh sb="2" eb="3">
      <t>ネン</t>
    </rPh>
    <rPh sb="5" eb="6">
      <t>ゲツ</t>
    </rPh>
    <phoneticPr fontId="2"/>
  </si>
  <si>
    <t>22年2ヶ月</t>
    <rPh sb="2" eb="3">
      <t>ネン</t>
    </rPh>
    <rPh sb="5" eb="6">
      <t>ゲツ</t>
    </rPh>
    <phoneticPr fontId="2"/>
  </si>
  <si>
    <t>22年3ヶ月</t>
    <rPh sb="2" eb="3">
      <t>ネン</t>
    </rPh>
    <rPh sb="5" eb="6">
      <t>ゲツ</t>
    </rPh>
    <phoneticPr fontId="2"/>
  </si>
  <si>
    <t>22年4ヶ月</t>
    <rPh sb="2" eb="3">
      <t>ネン</t>
    </rPh>
    <rPh sb="5" eb="6">
      <t>ゲツ</t>
    </rPh>
    <phoneticPr fontId="2"/>
  </si>
  <si>
    <t>22年5ヶ月</t>
    <rPh sb="2" eb="3">
      <t>ネン</t>
    </rPh>
    <rPh sb="5" eb="6">
      <t>ゲツ</t>
    </rPh>
    <phoneticPr fontId="2"/>
  </si>
  <si>
    <t>22年6ヶ月</t>
    <rPh sb="2" eb="3">
      <t>ネン</t>
    </rPh>
    <rPh sb="5" eb="6">
      <t>ゲツ</t>
    </rPh>
    <phoneticPr fontId="2"/>
  </si>
  <si>
    <t>22年7ヶ月</t>
    <rPh sb="2" eb="3">
      <t>ネン</t>
    </rPh>
    <rPh sb="5" eb="6">
      <t>ゲツ</t>
    </rPh>
    <phoneticPr fontId="2"/>
  </si>
  <si>
    <t>22年8ヶ月</t>
    <rPh sb="2" eb="3">
      <t>ネン</t>
    </rPh>
    <rPh sb="5" eb="6">
      <t>ゲツ</t>
    </rPh>
    <phoneticPr fontId="2"/>
  </si>
  <si>
    <t>22年9ヶ月</t>
    <rPh sb="2" eb="3">
      <t>ネン</t>
    </rPh>
    <rPh sb="5" eb="6">
      <t>ゲツ</t>
    </rPh>
    <phoneticPr fontId="2"/>
  </si>
  <si>
    <t>22年10ヶ月</t>
    <rPh sb="2" eb="3">
      <t>ネン</t>
    </rPh>
    <rPh sb="6" eb="7">
      <t>ゲツ</t>
    </rPh>
    <phoneticPr fontId="2"/>
  </si>
  <si>
    <t>22年11ヶ月</t>
    <rPh sb="2" eb="3">
      <t>ネン</t>
    </rPh>
    <rPh sb="6" eb="7">
      <t>ゲツ</t>
    </rPh>
    <phoneticPr fontId="2"/>
  </si>
  <si>
    <t>23年0ヶ月</t>
    <rPh sb="2" eb="3">
      <t>ネン</t>
    </rPh>
    <rPh sb="5" eb="6">
      <t>ゲツ</t>
    </rPh>
    <phoneticPr fontId="2"/>
  </si>
  <si>
    <t>23年1ヶ月</t>
    <rPh sb="2" eb="3">
      <t>ネン</t>
    </rPh>
    <rPh sb="5" eb="6">
      <t>ゲツ</t>
    </rPh>
    <phoneticPr fontId="2"/>
  </si>
  <si>
    <t>23年2ヶ月</t>
    <rPh sb="2" eb="3">
      <t>ネン</t>
    </rPh>
    <rPh sb="5" eb="6">
      <t>ゲツ</t>
    </rPh>
    <phoneticPr fontId="2"/>
  </si>
  <si>
    <t>23年3ヶ月</t>
    <rPh sb="2" eb="3">
      <t>ネン</t>
    </rPh>
    <rPh sb="5" eb="6">
      <t>ゲツ</t>
    </rPh>
    <phoneticPr fontId="2"/>
  </si>
  <si>
    <t>23年4ヶ月</t>
    <rPh sb="2" eb="3">
      <t>ネン</t>
    </rPh>
    <rPh sb="5" eb="6">
      <t>ゲツ</t>
    </rPh>
    <phoneticPr fontId="2"/>
  </si>
  <si>
    <t>23年5ヶ月</t>
    <rPh sb="2" eb="3">
      <t>ネン</t>
    </rPh>
    <rPh sb="5" eb="6">
      <t>ゲツ</t>
    </rPh>
    <phoneticPr fontId="2"/>
  </si>
  <si>
    <t>23年6ヶ月</t>
    <rPh sb="2" eb="3">
      <t>ネン</t>
    </rPh>
    <rPh sb="5" eb="6">
      <t>ゲツ</t>
    </rPh>
    <phoneticPr fontId="2"/>
  </si>
  <si>
    <t>23年7ヶ月</t>
    <rPh sb="2" eb="3">
      <t>ネン</t>
    </rPh>
    <rPh sb="5" eb="6">
      <t>ゲツ</t>
    </rPh>
    <phoneticPr fontId="2"/>
  </si>
  <si>
    <t>23年8ヶ月</t>
    <rPh sb="2" eb="3">
      <t>ネン</t>
    </rPh>
    <rPh sb="5" eb="6">
      <t>ゲツ</t>
    </rPh>
    <phoneticPr fontId="2"/>
  </si>
  <si>
    <t>23年9ヶ月</t>
    <rPh sb="2" eb="3">
      <t>ネン</t>
    </rPh>
    <rPh sb="5" eb="6">
      <t>ゲツ</t>
    </rPh>
    <phoneticPr fontId="2"/>
  </si>
  <si>
    <t>23年10ヶ月</t>
    <rPh sb="2" eb="3">
      <t>ネン</t>
    </rPh>
    <rPh sb="6" eb="7">
      <t>ゲツ</t>
    </rPh>
    <phoneticPr fontId="2"/>
  </si>
  <si>
    <t>23年11ヶ月</t>
    <rPh sb="2" eb="3">
      <t>ネン</t>
    </rPh>
    <rPh sb="6" eb="7">
      <t>ゲツ</t>
    </rPh>
    <phoneticPr fontId="2"/>
  </si>
  <si>
    <t>24年0ヶ月</t>
    <rPh sb="2" eb="3">
      <t>ネン</t>
    </rPh>
    <rPh sb="5" eb="6">
      <t>ゲツ</t>
    </rPh>
    <phoneticPr fontId="2"/>
  </si>
  <si>
    <t>24年1ヶ月</t>
    <rPh sb="2" eb="3">
      <t>ネン</t>
    </rPh>
    <rPh sb="5" eb="6">
      <t>ゲツ</t>
    </rPh>
    <phoneticPr fontId="2"/>
  </si>
  <si>
    <t>24年2ヶ月</t>
    <rPh sb="2" eb="3">
      <t>ネン</t>
    </rPh>
    <rPh sb="5" eb="6">
      <t>ゲツ</t>
    </rPh>
    <phoneticPr fontId="2"/>
  </si>
  <si>
    <t>24年3ヶ月</t>
    <rPh sb="2" eb="3">
      <t>ネン</t>
    </rPh>
    <rPh sb="5" eb="6">
      <t>ゲツ</t>
    </rPh>
    <phoneticPr fontId="2"/>
  </si>
  <si>
    <t>24年4ヶ月</t>
    <rPh sb="2" eb="3">
      <t>ネン</t>
    </rPh>
    <rPh sb="5" eb="6">
      <t>ゲツ</t>
    </rPh>
    <phoneticPr fontId="2"/>
  </si>
  <si>
    <t>24年5ヶ月</t>
    <rPh sb="2" eb="3">
      <t>ネン</t>
    </rPh>
    <rPh sb="5" eb="6">
      <t>ゲツ</t>
    </rPh>
    <phoneticPr fontId="2"/>
  </si>
  <si>
    <t>24年6ヶ月</t>
    <rPh sb="2" eb="3">
      <t>ネン</t>
    </rPh>
    <rPh sb="5" eb="6">
      <t>ゲツ</t>
    </rPh>
    <phoneticPr fontId="2"/>
  </si>
  <si>
    <t>24年7ヶ月</t>
    <rPh sb="2" eb="3">
      <t>ネン</t>
    </rPh>
    <rPh sb="5" eb="6">
      <t>ゲツ</t>
    </rPh>
    <phoneticPr fontId="2"/>
  </si>
  <si>
    <t>24年8ヶ月</t>
    <rPh sb="2" eb="3">
      <t>ネン</t>
    </rPh>
    <rPh sb="5" eb="6">
      <t>ゲツ</t>
    </rPh>
    <phoneticPr fontId="2"/>
  </si>
  <si>
    <t>24年9ヶ月</t>
    <rPh sb="2" eb="3">
      <t>ネン</t>
    </rPh>
    <rPh sb="5" eb="6">
      <t>ゲツ</t>
    </rPh>
    <phoneticPr fontId="2"/>
  </si>
  <si>
    <t>24年10ヶ月</t>
    <rPh sb="2" eb="3">
      <t>ネン</t>
    </rPh>
    <rPh sb="6" eb="7">
      <t>ゲツ</t>
    </rPh>
    <phoneticPr fontId="2"/>
  </si>
  <si>
    <t>24年11ヶ月</t>
    <rPh sb="2" eb="3">
      <t>ネン</t>
    </rPh>
    <rPh sb="6" eb="7">
      <t>ゲツ</t>
    </rPh>
    <phoneticPr fontId="2"/>
  </si>
  <si>
    <t>25年0ヶ月</t>
    <rPh sb="2" eb="3">
      <t>ネン</t>
    </rPh>
    <rPh sb="5" eb="6">
      <t>ゲツ</t>
    </rPh>
    <phoneticPr fontId="2"/>
  </si>
  <si>
    <t>25年1ヶ月</t>
    <rPh sb="2" eb="3">
      <t>ネン</t>
    </rPh>
    <rPh sb="5" eb="6">
      <t>ゲツ</t>
    </rPh>
    <phoneticPr fontId="2"/>
  </si>
  <si>
    <t>25年2ヶ月</t>
    <rPh sb="2" eb="3">
      <t>ネン</t>
    </rPh>
    <rPh sb="5" eb="6">
      <t>ゲツ</t>
    </rPh>
    <phoneticPr fontId="2"/>
  </si>
  <si>
    <t>25年3ヶ月</t>
    <rPh sb="2" eb="3">
      <t>ネン</t>
    </rPh>
    <rPh sb="5" eb="6">
      <t>ゲツ</t>
    </rPh>
    <phoneticPr fontId="2"/>
  </si>
  <si>
    <t>25年4ヶ月</t>
    <rPh sb="2" eb="3">
      <t>ネン</t>
    </rPh>
    <rPh sb="5" eb="6">
      <t>ゲツ</t>
    </rPh>
    <phoneticPr fontId="2"/>
  </si>
  <si>
    <t>25年5ヶ月</t>
    <rPh sb="2" eb="3">
      <t>ネン</t>
    </rPh>
    <rPh sb="5" eb="6">
      <t>ゲツ</t>
    </rPh>
    <phoneticPr fontId="2"/>
  </si>
  <si>
    <t>25年6ヶ月</t>
    <rPh sb="2" eb="3">
      <t>ネン</t>
    </rPh>
    <rPh sb="5" eb="6">
      <t>ゲツ</t>
    </rPh>
    <phoneticPr fontId="2"/>
  </si>
  <si>
    <t>25年7ヶ月</t>
    <rPh sb="2" eb="3">
      <t>ネン</t>
    </rPh>
    <rPh sb="5" eb="6">
      <t>ゲツ</t>
    </rPh>
    <phoneticPr fontId="2"/>
  </si>
  <si>
    <t>25年8ヶ月</t>
    <rPh sb="2" eb="3">
      <t>ネン</t>
    </rPh>
    <rPh sb="5" eb="6">
      <t>ゲツ</t>
    </rPh>
    <phoneticPr fontId="2"/>
  </si>
  <si>
    <t>25年9ヶ月</t>
    <rPh sb="2" eb="3">
      <t>ネン</t>
    </rPh>
    <rPh sb="5" eb="6">
      <t>ゲツ</t>
    </rPh>
    <phoneticPr fontId="2"/>
  </si>
  <si>
    <t>25年10ヶ月</t>
    <rPh sb="2" eb="3">
      <t>ネン</t>
    </rPh>
    <rPh sb="6" eb="7">
      <t>ゲツ</t>
    </rPh>
    <phoneticPr fontId="2"/>
  </si>
  <si>
    <t>25年11ヶ月</t>
    <rPh sb="2" eb="3">
      <t>ネン</t>
    </rPh>
    <rPh sb="6" eb="7">
      <t>ゲツ</t>
    </rPh>
    <phoneticPr fontId="2"/>
  </si>
  <si>
    <t>26年0ヶ月</t>
    <rPh sb="2" eb="3">
      <t>ネン</t>
    </rPh>
    <rPh sb="5" eb="6">
      <t>ゲツ</t>
    </rPh>
    <phoneticPr fontId="2"/>
  </si>
  <si>
    <t>26年1ヶ月</t>
    <rPh sb="2" eb="3">
      <t>ネン</t>
    </rPh>
    <rPh sb="5" eb="6">
      <t>ゲツ</t>
    </rPh>
    <phoneticPr fontId="2"/>
  </si>
  <si>
    <t>26年2ヶ月</t>
    <rPh sb="2" eb="3">
      <t>ネン</t>
    </rPh>
    <rPh sb="5" eb="6">
      <t>ゲツ</t>
    </rPh>
    <phoneticPr fontId="2"/>
  </si>
  <si>
    <t>26年3ヶ月</t>
    <rPh sb="2" eb="3">
      <t>ネン</t>
    </rPh>
    <rPh sb="5" eb="6">
      <t>ゲツ</t>
    </rPh>
    <phoneticPr fontId="2"/>
  </si>
  <si>
    <t>26年4ヶ月</t>
    <rPh sb="2" eb="3">
      <t>ネン</t>
    </rPh>
    <rPh sb="5" eb="6">
      <t>ゲツ</t>
    </rPh>
    <phoneticPr fontId="2"/>
  </si>
  <si>
    <t>26年5ヶ月</t>
    <rPh sb="2" eb="3">
      <t>ネン</t>
    </rPh>
    <rPh sb="5" eb="6">
      <t>ゲツ</t>
    </rPh>
    <phoneticPr fontId="2"/>
  </si>
  <si>
    <t>26年6ヶ月</t>
    <rPh sb="2" eb="3">
      <t>ネン</t>
    </rPh>
    <rPh sb="5" eb="6">
      <t>ゲツ</t>
    </rPh>
    <phoneticPr fontId="2"/>
  </si>
  <si>
    <t>26年7ヶ月</t>
    <rPh sb="2" eb="3">
      <t>ネン</t>
    </rPh>
    <rPh sb="5" eb="6">
      <t>ゲツ</t>
    </rPh>
    <phoneticPr fontId="2"/>
  </si>
  <si>
    <t>26年8ヶ月</t>
    <rPh sb="2" eb="3">
      <t>ネン</t>
    </rPh>
    <rPh sb="5" eb="6">
      <t>ゲツ</t>
    </rPh>
    <phoneticPr fontId="2"/>
  </si>
  <si>
    <t>26年9ヶ月</t>
    <rPh sb="2" eb="3">
      <t>ネン</t>
    </rPh>
    <rPh sb="5" eb="6">
      <t>ゲツ</t>
    </rPh>
    <phoneticPr fontId="2"/>
  </si>
  <si>
    <t>26年10ヶ月</t>
    <rPh sb="2" eb="3">
      <t>ネン</t>
    </rPh>
    <rPh sb="6" eb="7">
      <t>ゲツ</t>
    </rPh>
    <phoneticPr fontId="2"/>
  </si>
  <si>
    <t>26年11ヶ月</t>
    <rPh sb="2" eb="3">
      <t>ネン</t>
    </rPh>
    <rPh sb="6" eb="7">
      <t>ゲツ</t>
    </rPh>
    <phoneticPr fontId="2"/>
  </si>
  <si>
    <t>27年0ヶ月</t>
    <rPh sb="2" eb="3">
      <t>ネン</t>
    </rPh>
    <rPh sb="5" eb="6">
      <t>ゲツ</t>
    </rPh>
    <phoneticPr fontId="2"/>
  </si>
  <si>
    <t>27年1ヶ月</t>
    <rPh sb="2" eb="3">
      <t>ネン</t>
    </rPh>
    <rPh sb="5" eb="6">
      <t>ゲツ</t>
    </rPh>
    <phoneticPr fontId="2"/>
  </si>
  <si>
    <t>27年2ヶ月</t>
    <rPh sb="2" eb="3">
      <t>ネン</t>
    </rPh>
    <rPh sb="5" eb="6">
      <t>ゲツ</t>
    </rPh>
    <phoneticPr fontId="2"/>
  </si>
  <si>
    <t>27年3ヶ月</t>
    <rPh sb="2" eb="3">
      <t>ネン</t>
    </rPh>
    <rPh sb="5" eb="6">
      <t>ゲツ</t>
    </rPh>
    <phoneticPr fontId="2"/>
  </si>
  <si>
    <t>27年4ヶ月</t>
    <rPh sb="2" eb="3">
      <t>ネン</t>
    </rPh>
    <rPh sb="5" eb="6">
      <t>ゲツ</t>
    </rPh>
    <phoneticPr fontId="2"/>
  </si>
  <si>
    <t>27年5ヶ月</t>
    <rPh sb="2" eb="3">
      <t>ネン</t>
    </rPh>
    <rPh sb="5" eb="6">
      <t>ゲツ</t>
    </rPh>
    <phoneticPr fontId="2"/>
  </si>
  <si>
    <t>27年6ヶ月</t>
    <rPh sb="2" eb="3">
      <t>ネン</t>
    </rPh>
    <rPh sb="5" eb="6">
      <t>ゲツ</t>
    </rPh>
    <phoneticPr fontId="2"/>
  </si>
  <si>
    <t>27年7ヶ月</t>
    <rPh sb="2" eb="3">
      <t>ネン</t>
    </rPh>
    <rPh sb="5" eb="6">
      <t>ゲツ</t>
    </rPh>
    <phoneticPr fontId="2"/>
  </si>
  <si>
    <t>27年8ヶ月</t>
    <rPh sb="2" eb="3">
      <t>ネン</t>
    </rPh>
    <rPh sb="5" eb="6">
      <t>ゲツ</t>
    </rPh>
    <phoneticPr fontId="2"/>
  </si>
  <si>
    <t>27年9ヶ月</t>
    <rPh sb="2" eb="3">
      <t>ネン</t>
    </rPh>
    <rPh sb="5" eb="6">
      <t>ゲツ</t>
    </rPh>
    <phoneticPr fontId="2"/>
  </si>
  <si>
    <t>27年10ヶ月</t>
    <rPh sb="2" eb="3">
      <t>ネン</t>
    </rPh>
    <rPh sb="6" eb="7">
      <t>ゲツ</t>
    </rPh>
    <phoneticPr fontId="2"/>
  </si>
  <si>
    <t>27年11ヶ月</t>
    <rPh sb="2" eb="3">
      <t>ネン</t>
    </rPh>
    <rPh sb="6" eb="7">
      <t>ゲツ</t>
    </rPh>
    <phoneticPr fontId="2"/>
  </si>
  <si>
    <t>28年0ヶ月</t>
    <rPh sb="2" eb="3">
      <t>ネン</t>
    </rPh>
    <rPh sb="5" eb="6">
      <t>ゲツ</t>
    </rPh>
    <phoneticPr fontId="2"/>
  </si>
  <si>
    <t>28年1ヶ月</t>
    <rPh sb="2" eb="3">
      <t>ネン</t>
    </rPh>
    <rPh sb="5" eb="6">
      <t>ゲツ</t>
    </rPh>
    <phoneticPr fontId="2"/>
  </si>
  <si>
    <t>28年2ヶ月</t>
    <rPh sb="2" eb="3">
      <t>ネン</t>
    </rPh>
    <rPh sb="5" eb="6">
      <t>ゲツ</t>
    </rPh>
    <phoneticPr fontId="2"/>
  </si>
  <si>
    <t>28年3ヶ月</t>
    <rPh sb="2" eb="3">
      <t>ネン</t>
    </rPh>
    <rPh sb="5" eb="6">
      <t>ゲツ</t>
    </rPh>
    <phoneticPr fontId="2"/>
  </si>
  <si>
    <t>28年4ヶ月</t>
    <rPh sb="2" eb="3">
      <t>ネン</t>
    </rPh>
    <rPh sb="5" eb="6">
      <t>ゲツ</t>
    </rPh>
    <phoneticPr fontId="2"/>
  </si>
  <si>
    <t>28年5ヶ月</t>
    <rPh sb="2" eb="3">
      <t>ネン</t>
    </rPh>
    <rPh sb="5" eb="6">
      <t>ゲツ</t>
    </rPh>
    <phoneticPr fontId="2"/>
  </si>
  <si>
    <t>28年6ヶ月</t>
    <rPh sb="2" eb="3">
      <t>ネン</t>
    </rPh>
    <rPh sb="5" eb="6">
      <t>ゲツ</t>
    </rPh>
    <phoneticPr fontId="2"/>
  </si>
  <si>
    <t>28年7ヶ月</t>
    <rPh sb="2" eb="3">
      <t>ネン</t>
    </rPh>
    <rPh sb="5" eb="6">
      <t>ゲツ</t>
    </rPh>
    <phoneticPr fontId="2"/>
  </si>
  <si>
    <t>28年8ヶ月</t>
    <rPh sb="2" eb="3">
      <t>ネン</t>
    </rPh>
    <rPh sb="5" eb="6">
      <t>ゲツ</t>
    </rPh>
    <phoneticPr fontId="2"/>
  </si>
  <si>
    <t>28年9ヶ月</t>
    <rPh sb="2" eb="3">
      <t>ネン</t>
    </rPh>
    <rPh sb="5" eb="6">
      <t>ゲツ</t>
    </rPh>
    <phoneticPr fontId="2"/>
  </si>
  <si>
    <t>28年10ヶ月</t>
    <rPh sb="2" eb="3">
      <t>ネン</t>
    </rPh>
    <rPh sb="6" eb="7">
      <t>ゲツ</t>
    </rPh>
    <phoneticPr fontId="2"/>
  </si>
  <si>
    <t>28年11ヶ月</t>
    <rPh sb="2" eb="3">
      <t>ネン</t>
    </rPh>
    <rPh sb="6" eb="7">
      <t>ゲツ</t>
    </rPh>
    <phoneticPr fontId="2"/>
  </si>
  <si>
    <t>29年0ヶ月</t>
    <rPh sb="2" eb="3">
      <t>ネン</t>
    </rPh>
    <rPh sb="5" eb="6">
      <t>ゲツ</t>
    </rPh>
    <phoneticPr fontId="2"/>
  </si>
  <si>
    <t>29年1ヶ月</t>
    <rPh sb="2" eb="3">
      <t>ネン</t>
    </rPh>
    <rPh sb="5" eb="6">
      <t>ゲツ</t>
    </rPh>
    <phoneticPr fontId="2"/>
  </si>
  <si>
    <t>29年2ヶ月</t>
    <rPh sb="2" eb="3">
      <t>ネン</t>
    </rPh>
    <rPh sb="5" eb="6">
      <t>ゲツ</t>
    </rPh>
    <phoneticPr fontId="2"/>
  </si>
  <si>
    <t>29年3ヶ月</t>
    <rPh sb="2" eb="3">
      <t>ネン</t>
    </rPh>
    <rPh sb="5" eb="6">
      <t>ゲツ</t>
    </rPh>
    <phoneticPr fontId="2"/>
  </si>
  <si>
    <t>29年4ヶ月</t>
    <rPh sb="2" eb="3">
      <t>ネン</t>
    </rPh>
    <rPh sb="5" eb="6">
      <t>ゲツ</t>
    </rPh>
    <phoneticPr fontId="2"/>
  </si>
  <si>
    <t>29年5ヶ月</t>
    <rPh sb="2" eb="3">
      <t>ネン</t>
    </rPh>
    <rPh sb="5" eb="6">
      <t>ゲツ</t>
    </rPh>
    <phoneticPr fontId="2"/>
  </si>
  <si>
    <t>29年6ヶ月</t>
    <rPh sb="2" eb="3">
      <t>ネン</t>
    </rPh>
    <rPh sb="5" eb="6">
      <t>ゲツ</t>
    </rPh>
    <phoneticPr fontId="2"/>
  </si>
  <si>
    <t>29年7ヶ月</t>
    <rPh sb="2" eb="3">
      <t>ネン</t>
    </rPh>
    <rPh sb="5" eb="6">
      <t>ゲツ</t>
    </rPh>
    <phoneticPr fontId="2"/>
  </si>
  <si>
    <t>29年8ヶ月</t>
    <rPh sb="2" eb="3">
      <t>ネン</t>
    </rPh>
    <rPh sb="5" eb="6">
      <t>ゲツ</t>
    </rPh>
    <phoneticPr fontId="2"/>
  </si>
  <si>
    <t>29年9ヶ月</t>
    <rPh sb="2" eb="3">
      <t>ネン</t>
    </rPh>
    <rPh sb="5" eb="6">
      <t>ゲツ</t>
    </rPh>
    <phoneticPr fontId="2"/>
  </si>
  <si>
    <t>29年10ヶ月</t>
    <rPh sb="2" eb="3">
      <t>ネン</t>
    </rPh>
    <rPh sb="6" eb="7">
      <t>ゲツ</t>
    </rPh>
    <phoneticPr fontId="2"/>
  </si>
  <si>
    <t>29年11ヶ月</t>
    <rPh sb="2" eb="3">
      <t>ネン</t>
    </rPh>
    <rPh sb="6" eb="7">
      <t>ゲツ</t>
    </rPh>
    <phoneticPr fontId="2"/>
  </si>
  <si>
    <t>30年0ヶ月</t>
    <rPh sb="2" eb="3">
      <t>ネン</t>
    </rPh>
    <rPh sb="5" eb="6">
      <t>ゲツ</t>
    </rPh>
    <phoneticPr fontId="2"/>
  </si>
  <si>
    <t>30年1ヶ月</t>
    <rPh sb="2" eb="3">
      <t>ネン</t>
    </rPh>
    <rPh sb="5" eb="6">
      <t>ゲツ</t>
    </rPh>
    <phoneticPr fontId="2"/>
  </si>
  <si>
    <t>30年2ヶ月</t>
    <rPh sb="2" eb="3">
      <t>ネン</t>
    </rPh>
    <rPh sb="5" eb="6">
      <t>ゲツ</t>
    </rPh>
    <phoneticPr fontId="2"/>
  </si>
  <si>
    <t>30年3ヶ月</t>
    <rPh sb="2" eb="3">
      <t>ネン</t>
    </rPh>
    <rPh sb="5" eb="6">
      <t>ゲツ</t>
    </rPh>
    <phoneticPr fontId="2"/>
  </si>
  <si>
    <t>30年4ヶ月</t>
    <rPh sb="2" eb="3">
      <t>ネン</t>
    </rPh>
    <rPh sb="5" eb="6">
      <t>ゲツ</t>
    </rPh>
    <phoneticPr fontId="2"/>
  </si>
  <si>
    <t>30年5ヶ月</t>
    <rPh sb="2" eb="3">
      <t>ネン</t>
    </rPh>
    <rPh sb="5" eb="6">
      <t>ゲツ</t>
    </rPh>
    <phoneticPr fontId="2"/>
  </si>
  <si>
    <t>30年6ヶ月</t>
    <rPh sb="2" eb="3">
      <t>ネン</t>
    </rPh>
    <rPh sb="5" eb="6">
      <t>ゲツ</t>
    </rPh>
    <phoneticPr fontId="2"/>
  </si>
  <si>
    <t>30年7ヶ月</t>
    <rPh sb="2" eb="3">
      <t>ネン</t>
    </rPh>
    <rPh sb="5" eb="6">
      <t>ゲツ</t>
    </rPh>
    <phoneticPr fontId="2"/>
  </si>
  <si>
    <t>30年8ヶ月</t>
    <rPh sb="2" eb="3">
      <t>ネン</t>
    </rPh>
    <rPh sb="5" eb="6">
      <t>ゲツ</t>
    </rPh>
    <phoneticPr fontId="2"/>
  </si>
  <si>
    <t>30年9ヶ月</t>
    <rPh sb="2" eb="3">
      <t>ネン</t>
    </rPh>
    <rPh sb="5" eb="6">
      <t>ゲツ</t>
    </rPh>
    <phoneticPr fontId="2"/>
  </si>
  <si>
    <t>30年10ヶ月</t>
    <rPh sb="2" eb="3">
      <t>ネン</t>
    </rPh>
    <rPh sb="6" eb="7">
      <t>ゲツ</t>
    </rPh>
    <phoneticPr fontId="2"/>
  </si>
  <si>
    <t>30年11ヶ月</t>
    <rPh sb="2" eb="3">
      <t>ネン</t>
    </rPh>
    <rPh sb="6" eb="7">
      <t>ゲツ</t>
    </rPh>
    <phoneticPr fontId="2"/>
  </si>
  <si>
    <t>31年0ヶ月</t>
    <rPh sb="2" eb="3">
      <t>ネン</t>
    </rPh>
    <rPh sb="5" eb="6">
      <t>ゲツ</t>
    </rPh>
    <phoneticPr fontId="2"/>
  </si>
  <si>
    <t>31年1ヶ月</t>
    <rPh sb="2" eb="3">
      <t>ネン</t>
    </rPh>
    <rPh sb="5" eb="6">
      <t>ゲツ</t>
    </rPh>
    <phoneticPr fontId="2"/>
  </si>
  <si>
    <t>31年2ヶ月</t>
    <rPh sb="2" eb="3">
      <t>ネン</t>
    </rPh>
    <rPh sb="5" eb="6">
      <t>ゲツ</t>
    </rPh>
    <phoneticPr fontId="2"/>
  </si>
  <si>
    <t>31年3ヶ月</t>
    <rPh sb="2" eb="3">
      <t>ネン</t>
    </rPh>
    <rPh sb="5" eb="6">
      <t>ゲツ</t>
    </rPh>
    <phoneticPr fontId="2"/>
  </si>
  <si>
    <t>31年4ヶ月</t>
    <rPh sb="2" eb="3">
      <t>ネン</t>
    </rPh>
    <rPh sb="5" eb="6">
      <t>ゲツ</t>
    </rPh>
    <phoneticPr fontId="2"/>
  </si>
  <si>
    <t>31年5ヶ月</t>
    <rPh sb="2" eb="3">
      <t>ネン</t>
    </rPh>
    <rPh sb="5" eb="6">
      <t>ゲツ</t>
    </rPh>
    <phoneticPr fontId="2"/>
  </si>
  <si>
    <t>31年6ヶ月</t>
    <rPh sb="2" eb="3">
      <t>ネン</t>
    </rPh>
    <rPh sb="5" eb="6">
      <t>ゲツ</t>
    </rPh>
    <phoneticPr fontId="2"/>
  </si>
  <si>
    <t>31年7ヶ月</t>
    <rPh sb="2" eb="3">
      <t>ネン</t>
    </rPh>
    <rPh sb="5" eb="6">
      <t>ゲツ</t>
    </rPh>
    <phoneticPr fontId="2"/>
  </si>
  <si>
    <t>31年8ヶ月</t>
    <rPh sb="2" eb="3">
      <t>ネン</t>
    </rPh>
    <rPh sb="5" eb="6">
      <t>ゲツ</t>
    </rPh>
    <phoneticPr fontId="2"/>
  </si>
  <si>
    <t>31年9ヶ月</t>
    <rPh sb="2" eb="3">
      <t>ネン</t>
    </rPh>
    <rPh sb="5" eb="6">
      <t>ゲツ</t>
    </rPh>
    <phoneticPr fontId="2"/>
  </si>
  <si>
    <t>31年10ヶ月</t>
    <rPh sb="2" eb="3">
      <t>ネン</t>
    </rPh>
    <rPh sb="6" eb="7">
      <t>ゲツ</t>
    </rPh>
    <phoneticPr fontId="2"/>
  </si>
  <si>
    <t>31年11ヶ月</t>
    <rPh sb="2" eb="3">
      <t>ネン</t>
    </rPh>
    <rPh sb="6" eb="7">
      <t>ゲツ</t>
    </rPh>
    <phoneticPr fontId="2"/>
  </si>
  <si>
    <t>32年0ヶ月</t>
    <rPh sb="2" eb="3">
      <t>ネン</t>
    </rPh>
    <rPh sb="5" eb="6">
      <t>ゲツ</t>
    </rPh>
    <phoneticPr fontId="2"/>
  </si>
  <si>
    <t>32年1ヶ月</t>
    <rPh sb="2" eb="3">
      <t>ネン</t>
    </rPh>
    <rPh sb="5" eb="6">
      <t>ゲツ</t>
    </rPh>
    <phoneticPr fontId="2"/>
  </si>
  <si>
    <t>32年2ヶ月</t>
    <rPh sb="2" eb="3">
      <t>ネン</t>
    </rPh>
    <rPh sb="5" eb="6">
      <t>ゲツ</t>
    </rPh>
    <phoneticPr fontId="2"/>
  </si>
  <si>
    <t>32年3ヶ月</t>
    <rPh sb="2" eb="3">
      <t>ネン</t>
    </rPh>
    <rPh sb="5" eb="6">
      <t>ゲツ</t>
    </rPh>
    <phoneticPr fontId="2"/>
  </si>
  <si>
    <t>32年4ヶ月</t>
    <rPh sb="2" eb="3">
      <t>ネン</t>
    </rPh>
    <rPh sb="5" eb="6">
      <t>ゲツ</t>
    </rPh>
    <phoneticPr fontId="2"/>
  </si>
  <si>
    <t>32年5ヶ月</t>
    <rPh sb="2" eb="3">
      <t>ネン</t>
    </rPh>
    <rPh sb="5" eb="6">
      <t>ゲツ</t>
    </rPh>
    <phoneticPr fontId="2"/>
  </si>
  <si>
    <t>32年6ヶ月</t>
    <rPh sb="2" eb="3">
      <t>ネン</t>
    </rPh>
    <rPh sb="5" eb="6">
      <t>ゲツ</t>
    </rPh>
    <phoneticPr fontId="2"/>
  </si>
  <si>
    <t>32年7ヶ月</t>
    <rPh sb="2" eb="3">
      <t>ネン</t>
    </rPh>
    <rPh sb="5" eb="6">
      <t>ゲツ</t>
    </rPh>
    <phoneticPr fontId="2"/>
  </si>
  <si>
    <t>32年8ヶ月</t>
    <rPh sb="2" eb="3">
      <t>ネン</t>
    </rPh>
    <rPh sb="5" eb="6">
      <t>ゲツ</t>
    </rPh>
    <phoneticPr fontId="2"/>
  </si>
  <si>
    <t>32年9ヶ月</t>
    <rPh sb="2" eb="3">
      <t>ネン</t>
    </rPh>
    <rPh sb="5" eb="6">
      <t>ゲツ</t>
    </rPh>
    <phoneticPr fontId="2"/>
  </si>
  <si>
    <t>32年10ヶ月</t>
    <rPh sb="2" eb="3">
      <t>ネン</t>
    </rPh>
    <rPh sb="6" eb="7">
      <t>ゲツ</t>
    </rPh>
    <phoneticPr fontId="2"/>
  </si>
  <si>
    <t>32年11ヶ月</t>
    <rPh sb="2" eb="3">
      <t>ネン</t>
    </rPh>
    <rPh sb="6" eb="7">
      <t>ゲツ</t>
    </rPh>
    <phoneticPr fontId="2"/>
  </si>
  <si>
    <t>33年0ヶ月</t>
    <rPh sb="2" eb="3">
      <t>ネン</t>
    </rPh>
    <rPh sb="5" eb="6">
      <t>ゲツ</t>
    </rPh>
    <phoneticPr fontId="2"/>
  </si>
  <si>
    <t>33年1ヶ月</t>
    <rPh sb="2" eb="3">
      <t>ネン</t>
    </rPh>
    <rPh sb="5" eb="6">
      <t>ゲツ</t>
    </rPh>
    <phoneticPr fontId="2"/>
  </si>
  <si>
    <t>33年2ヶ月</t>
    <rPh sb="2" eb="3">
      <t>ネン</t>
    </rPh>
    <rPh sb="5" eb="6">
      <t>ゲツ</t>
    </rPh>
    <phoneticPr fontId="2"/>
  </si>
  <si>
    <t>33年3ヶ月</t>
    <rPh sb="2" eb="3">
      <t>ネン</t>
    </rPh>
    <rPh sb="5" eb="6">
      <t>ゲツ</t>
    </rPh>
    <phoneticPr fontId="2"/>
  </si>
  <si>
    <t>33年4ヶ月</t>
    <rPh sb="2" eb="3">
      <t>ネン</t>
    </rPh>
    <rPh sb="5" eb="6">
      <t>ゲツ</t>
    </rPh>
    <phoneticPr fontId="2"/>
  </si>
  <si>
    <t>33年5ヶ月</t>
    <rPh sb="2" eb="3">
      <t>ネン</t>
    </rPh>
    <rPh sb="5" eb="6">
      <t>ゲツ</t>
    </rPh>
    <phoneticPr fontId="2"/>
  </si>
  <si>
    <t>33年6ヶ月</t>
    <rPh sb="2" eb="3">
      <t>ネン</t>
    </rPh>
    <rPh sb="5" eb="6">
      <t>ゲツ</t>
    </rPh>
    <phoneticPr fontId="2"/>
  </si>
  <si>
    <t>33年7ヶ月</t>
    <rPh sb="2" eb="3">
      <t>ネン</t>
    </rPh>
    <rPh sb="5" eb="6">
      <t>ゲツ</t>
    </rPh>
    <phoneticPr fontId="2"/>
  </si>
  <si>
    <t>33年8ヶ月</t>
    <rPh sb="2" eb="3">
      <t>ネン</t>
    </rPh>
    <rPh sb="5" eb="6">
      <t>ゲツ</t>
    </rPh>
    <phoneticPr fontId="2"/>
  </si>
  <si>
    <t>33年9ヶ月</t>
    <rPh sb="2" eb="3">
      <t>ネン</t>
    </rPh>
    <rPh sb="5" eb="6">
      <t>ゲツ</t>
    </rPh>
    <phoneticPr fontId="2"/>
  </si>
  <si>
    <t>33年10ヶ月</t>
    <rPh sb="2" eb="3">
      <t>ネン</t>
    </rPh>
    <rPh sb="6" eb="7">
      <t>ゲツ</t>
    </rPh>
    <phoneticPr fontId="2"/>
  </si>
  <si>
    <t>33年11ヶ月</t>
    <rPh sb="2" eb="3">
      <t>ネン</t>
    </rPh>
    <rPh sb="6" eb="7">
      <t>ゲツ</t>
    </rPh>
    <phoneticPr fontId="2"/>
  </si>
  <si>
    <t>34年0ヶ月</t>
    <rPh sb="2" eb="3">
      <t>ネン</t>
    </rPh>
    <rPh sb="5" eb="6">
      <t>ゲツ</t>
    </rPh>
    <phoneticPr fontId="2"/>
  </si>
  <si>
    <t>34年1ヶ月</t>
    <rPh sb="2" eb="3">
      <t>ネン</t>
    </rPh>
    <rPh sb="5" eb="6">
      <t>ゲツ</t>
    </rPh>
    <phoneticPr fontId="2"/>
  </si>
  <si>
    <t>34年2ヶ月</t>
    <rPh sb="2" eb="3">
      <t>ネン</t>
    </rPh>
    <rPh sb="5" eb="6">
      <t>ゲツ</t>
    </rPh>
    <phoneticPr fontId="2"/>
  </si>
  <si>
    <t>34年3ヶ月</t>
    <rPh sb="2" eb="3">
      <t>ネン</t>
    </rPh>
    <rPh sb="5" eb="6">
      <t>ゲツ</t>
    </rPh>
    <phoneticPr fontId="2"/>
  </si>
  <si>
    <t>34年4ヶ月</t>
    <rPh sb="2" eb="3">
      <t>ネン</t>
    </rPh>
    <rPh sb="5" eb="6">
      <t>ゲツ</t>
    </rPh>
    <phoneticPr fontId="2"/>
  </si>
  <si>
    <t>34年5ヶ月</t>
    <rPh sb="2" eb="3">
      <t>ネン</t>
    </rPh>
    <rPh sb="5" eb="6">
      <t>ゲツ</t>
    </rPh>
    <phoneticPr fontId="2"/>
  </si>
  <si>
    <t>34年6ヶ月</t>
    <rPh sb="2" eb="3">
      <t>ネン</t>
    </rPh>
    <rPh sb="5" eb="6">
      <t>ゲツ</t>
    </rPh>
    <phoneticPr fontId="2"/>
  </si>
  <si>
    <t>34年7ヶ月</t>
    <rPh sb="2" eb="3">
      <t>ネン</t>
    </rPh>
    <rPh sb="5" eb="6">
      <t>ゲツ</t>
    </rPh>
    <phoneticPr fontId="2"/>
  </si>
  <si>
    <t>34年8ヶ月</t>
    <rPh sb="2" eb="3">
      <t>ネン</t>
    </rPh>
    <rPh sb="5" eb="6">
      <t>ゲツ</t>
    </rPh>
    <phoneticPr fontId="2"/>
  </si>
  <si>
    <t>34年9ヶ月</t>
    <rPh sb="2" eb="3">
      <t>ネン</t>
    </rPh>
    <rPh sb="5" eb="6">
      <t>ゲツ</t>
    </rPh>
    <phoneticPr fontId="2"/>
  </si>
  <si>
    <t>34年10ヶ月</t>
    <rPh sb="2" eb="3">
      <t>ネン</t>
    </rPh>
    <rPh sb="6" eb="7">
      <t>ゲツ</t>
    </rPh>
    <phoneticPr fontId="2"/>
  </si>
  <si>
    <t>34年11ヶ月</t>
    <rPh sb="2" eb="3">
      <t>ネン</t>
    </rPh>
    <rPh sb="6" eb="7">
      <t>ゲツ</t>
    </rPh>
    <phoneticPr fontId="2"/>
  </si>
  <si>
    <t>35年0ヶ月</t>
    <rPh sb="2" eb="3">
      <t>ネン</t>
    </rPh>
    <rPh sb="5" eb="6">
      <t>ゲツ</t>
    </rPh>
    <phoneticPr fontId="2"/>
  </si>
  <si>
    <t>35年1ヶ月</t>
    <rPh sb="2" eb="3">
      <t>ネン</t>
    </rPh>
    <rPh sb="5" eb="6">
      <t>ゲツ</t>
    </rPh>
    <phoneticPr fontId="2"/>
  </si>
  <si>
    <t>35年2ヶ月</t>
    <rPh sb="2" eb="3">
      <t>ネン</t>
    </rPh>
    <rPh sb="5" eb="6">
      <t>ゲツ</t>
    </rPh>
    <phoneticPr fontId="2"/>
  </si>
  <si>
    <t>35年3ヶ月</t>
    <rPh sb="2" eb="3">
      <t>ネン</t>
    </rPh>
    <rPh sb="5" eb="6">
      <t>ゲツ</t>
    </rPh>
    <phoneticPr fontId="2"/>
  </si>
  <si>
    <t>35年4ヶ月</t>
    <rPh sb="2" eb="3">
      <t>ネン</t>
    </rPh>
    <rPh sb="5" eb="6">
      <t>ゲツ</t>
    </rPh>
    <phoneticPr fontId="2"/>
  </si>
  <si>
    <t>35年5ヶ月</t>
    <rPh sb="2" eb="3">
      <t>ネン</t>
    </rPh>
    <rPh sb="5" eb="6">
      <t>ゲツ</t>
    </rPh>
    <phoneticPr fontId="2"/>
  </si>
  <si>
    <t>35年6ヶ月</t>
    <rPh sb="2" eb="3">
      <t>ネン</t>
    </rPh>
    <rPh sb="5" eb="6">
      <t>ゲツ</t>
    </rPh>
    <phoneticPr fontId="2"/>
  </si>
  <si>
    <t>35年7ヶ月</t>
    <rPh sb="2" eb="3">
      <t>ネン</t>
    </rPh>
    <rPh sb="5" eb="6">
      <t>ゲツ</t>
    </rPh>
    <phoneticPr fontId="2"/>
  </si>
  <si>
    <t>35年8ヶ月</t>
    <rPh sb="2" eb="3">
      <t>ネン</t>
    </rPh>
    <rPh sb="5" eb="6">
      <t>ゲツ</t>
    </rPh>
    <phoneticPr fontId="2"/>
  </si>
  <si>
    <t>35年9ヶ月</t>
    <rPh sb="2" eb="3">
      <t>ネン</t>
    </rPh>
    <rPh sb="5" eb="6">
      <t>ゲツ</t>
    </rPh>
    <phoneticPr fontId="2"/>
  </si>
  <si>
    <t>35年10ヶ月</t>
    <rPh sb="2" eb="3">
      <t>ネン</t>
    </rPh>
    <rPh sb="6" eb="7">
      <t>ゲツ</t>
    </rPh>
    <phoneticPr fontId="2"/>
  </si>
  <si>
    <t>35年11ヶ月</t>
    <rPh sb="2" eb="3">
      <t>ネン</t>
    </rPh>
    <rPh sb="6" eb="7">
      <t>ゲツ</t>
    </rPh>
    <phoneticPr fontId="2"/>
  </si>
  <si>
    <t>36年0ヶ月</t>
    <rPh sb="2" eb="3">
      <t>ネン</t>
    </rPh>
    <rPh sb="5" eb="6">
      <t>ゲツ</t>
    </rPh>
    <phoneticPr fontId="2"/>
  </si>
  <si>
    <t>36年1ヶ月</t>
    <rPh sb="2" eb="3">
      <t>ネン</t>
    </rPh>
    <rPh sb="5" eb="6">
      <t>ゲツ</t>
    </rPh>
    <phoneticPr fontId="2"/>
  </si>
  <si>
    <t>36年2ヶ月</t>
    <rPh sb="2" eb="3">
      <t>ネン</t>
    </rPh>
    <rPh sb="5" eb="6">
      <t>ゲツ</t>
    </rPh>
    <phoneticPr fontId="2"/>
  </si>
  <si>
    <t>36年3ヶ月</t>
    <rPh sb="2" eb="3">
      <t>ネン</t>
    </rPh>
    <rPh sb="5" eb="6">
      <t>ゲツ</t>
    </rPh>
    <phoneticPr fontId="2"/>
  </si>
  <si>
    <t>36年4ヶ月</t>
    <rPh sb="2" eb="3">
      <t>ネン</t>
    </rPh>
    <rPh sb="5" eb="6">
      <t>ゲツ</t>
    </rPh>
    <phoneticPr fontId="2"/>
  </si>
  <si>
    <t>36年5ヶ月</t>
    <rPh sb="2" eb="3">
      <t>ネン</t>
    </rPh>
    <rPh sb="5" eb="6">
      <t>ゲツ</t>
    </rPh>
    <phoneticPr fontId="2"/>
  </si>
  <si>
    <t>36年6ヶ月</t>
    <rPh sb="2" eb="3">
      <t>ネン</t>
    </rPh>
    <rPh sb="5" eb="6">
      <t>ゲツ</t>
    </rPh>
    <phoneticPr fontId="2"/>
  </si>
  <si>
    <t>36年7ヶ月</t>
    <rPh sb="2" eb="3">
      <t>ネン</t>
    </rPh>
    <rPh sb="5" eb="6">
      <t>ゲツ</t>
    </rPh>
    <phoneticPr fontId="2"/>
  </si>
  <si>
    <t>36年8ヶ月</t>
    <rPh sb="2" eb="3">
      <t>ネン</t>
    </rPh>
    <rPh sb="5" eb="6">
      <t>ゲツ</t>
    </rPh>
    <phoneticPr fontId="2"/>
  </si>
  <si>
    <t>36年9ヶ月</t>
    <rPh sb="2" eb="3">
      <t>ネン</t>
    </rPh>
    <rPh sb="5" eb="6">
      <t>ゲツ</t>
    </rPh>
    <phoneticPr fontId="2"/>
  </si>
  <si>
    <t>36年10ヶ月</t>
    <rPh sb="2" eb="3">
      <t>ネン</t>
    </rPh>
    <rPh sb="6" eb="7">
      <t>ゲツ</t>
    </rPh>
    <phoneticPr fontId="2"/>
  </si>
  <si>
    <t>36年11ヶ月</t>
    <rPh sb="2" eb="3">
      <t>ネン</t>
    </rPh>
    <rPh sb="6" eb="7">
      <t>ゲツ</t>
    </rPh>
    <phoneticPr fontId="2"/>
  </si>
  <si>
    <t>37年0ヶ月</t>
    <rPh sb="2" eb="3">
      <t>ネン</t>
    </rPh>
    <rPh sb="5" eb="6">
      <t>ゲツ</t>
    </rPh>
    <phoneticPr fontId="2"/>
  </si>
  <si>
    <t>37年1ヶ月</t>
    <rPh sb="2" eb="3">
      <t>ネン</t>
    </rPh>
    <rPh sb="5" eb="6">
      <t>ゲツ</t>
    </rPh>
    <phoneticPr fontId="2"/>
  </si>
  <si>
    <t>37年2ヶ月</t>
    <rPh sb="2" eb="3">
      <t>ネン</t>
    </rPh>
    <rPh sb="5" eb="6">
      <t>ゲツ</t>
    </rPh>
    <phoneticPr fontId="2"/>
  </si>
  <si>
    <t>37年3ヶ月</t>
    <rPh sb="2" eb="3">
      <t>ネン</t>
    </rPh>
    <rPh sb="5" eb="6">
      <t>ゲツ</t>
    </rPh>
    <phoneticPr fontId="2"/>
  </si>
  <si>
    <t>37年4ヶ月</t>
    <rPh sb="2" eb="3">
      <t>ネン</t>
    </rPh>
    <rPh sb="5" eb="6">
      <t>ゲツ</t>
    </rPh>
    <phoneticPr fontId="2"/>
  </si>
  <si>
    <t>37年5ヶ月</t>
    <rPh sb="2" eb="3">
      <t>ネン</t>
    </rPh>
    <rPh sb="5" eb="6">
      <t>ゲツ</t>
    </rPh>
    <phoneticPr fontId="2"/>
  </si>
  <si>
    <t>37年6ヶ月</t>
    <rPh sb="2" eb="3">
      <t>ネン</t>
    </rPh>
    <rPh sb="5" eb="6">
      <t>ゲツ</t>
    </rPh>
    <phoneticPr fontId="2"/>
  </si>
  <si>
    <t>37年7ヶ月</t>
    <rPh sb="2" eb="3">
      <t>ネン</t>
    </rPh>
    <rPh sb="5" eb="6">
      <t>ゲツ</t>
    </rPh>
    <phoneticPr fontId="2"/>
  </si>
  <si>
    <t>37年8ヶ月</t>
    <rPh sb="2" eb="3">
      <t>ネン</t>
    </rPh>
    <rPh sb="5" eb="6">
      <t>ゲツ</t>
    </rPh>
    <phoneticPr fontId="2"/>
  </si>
  <si>
    <t>37年9ヶ月</t>
    <rPh sb="2" eb="3">
      <t>ネン</t>
    </rPh>
    <rPh sb="5" eb="6">
      <t>ゲツ</t>
    </rPh>
    <phoneticPr fontId="2"/>
  </si>
  <si>
    <t>37年10ヶ月</t>
    <rPh sb="2" eb="3">
      <t>ネン</t>
    </rPh>
    <rPh sb="6" eb="7">
      <t>ゲツ</t>
    </rPh>
    <phoneticPr fontId="2"/>
  </si>
  <si>
    <t>37年11ヶ月</t>
    <rPh sb="2" eb="3">
      <t>ネン</t>
    </rPh>
    <rPh sb="6" eb="7">
      <t>ゲツ</t>
    </rPh>
    <phoneticPr fontId="2"/>
  </si>
  <si>
    <t>38年0ヶ月</t>
    <rPh sb="2" eb="3">
      <t>ネン</t>
    </rPh>
    <rPh sb="5" eb="6">
      <t>ゲツ</t>
    </rPh>
    <phoneticPr fontId="2"/>
  </si>
  <si>
    <t>38年1ヶ月</t>
    <rPh sb="2" eb="3">
      <t>ネン</t>
    </rPh>
    <rPh sb="5" eb="6">
      <t>ゲツ</t>
    </rPh>
    <phoneticPr fontId="2"/>
  </si>
  <si>
    <t>38年2ヶ月</t>
    <rPh sb="2" eb="3">
      <t>ネン</t>
    </rPh>
    <rPh sb="5" eb="6">
      <t>ゲツ</t>
    </rPh>
    <phoneticPr fontId="2"/>
  </si>
  <si>
    <t>38年3ヶ月</t>
    <rPh sb="2" eb="3">
      <t>ネン</t>
    </rPh>
    <rPh sb="5" eb="6">
      <t>ゲツ</t>
    </rPh>
    <phoneticPr fontId="2"/>
  </si>
  <si>
    <t>38年4ヶ月</t>
    <rPh sb="2" eb="3">
      <t>ネン</t>
    </rPh>
    <rPh sb="5" eb="6">
      <t>ゲツ</t>
    </rPh>
    <phoneticPr fontId="2"/>
  </si>
  <si>
    <t>38年5ヶ月</t>
    <rPh sb="2" eb="3">
      <t>ネン</t>
    </rPh>
    <rPh sb="5" eb="6">
      <t>ゲツ</t>
    </rPh>
    <phoneticPr fontId="2"/>
  </si>
  <si>
    <t>38年6ヶ月</t>
    <rPh sb="2" eb="3">
      <t>ネン</t>
    </rPh>
    <rPh sb="5" eb="6">
      <t>ゲツ</t>
    </rPh>
    <phoneticPr fontId="2"/>
  </si>
  <si>
    <t>38年7ヶ月</t>
    <rPh sb="2" eb="3">
      <t>ネン</t>
    </rPh>
    <rPh sb="5" eb="6">
      <t>ゲツ</t>
    </rPh>
    <phoneticPr fontId="2"/>
  </si>
  <si>
    <t>38年8ヶ月</t>
    <rPh sb="2" eb="3">
      <t>ネン</t>
    </rPh>
    <rPh sb="5" eb="6">
      <t>ゲツ</t>
    </rPh>
    <phoneticPr fontId="2"/>
  </si>
  <si>
    <t>38年9ヶ月</t>
    <rPh sb="2" eb="3">
      <t>ネン</t>
    </rPh>
    <rPh sb="5" eb="6">
      <t>ゲツ</t>
    </rPh>
    <phoneticPr fontId="2"/>
  </si>
  <si>
    <t>38年10ヶ月</t>
    <rPh sb="2" eb="3">
      <t>ネン</t>
    </rPh>
    <rPh sb="6" eb="7">
      <t>ゲツ</t>
    </rPh>
    <phoneticPr fontId="2"/>
  </si>
  <si>
    <t>38年11ヶ月</t>
    <rPh sb="2" eb="3">
      <t>ネン</t>
    </rPh>
    <rPh sb="6" eb="7">
      <t>ゲツ</t>
    </rPh>
    <phoneticPr fontId="2"/>
  </si>
  <si>
    <t>39年0ヶ月</t>
    <rPh sb="2" eb="3">
      <t>ネン</t>
    </rPh>
    <rPh sb="5" eb="6">
      <t>ゲツ</t>
    </rPh>
    <phoneticPr fontId="2"/>
  </si>
  <si>
    <t>39年1ヶ月</t>
    <rPh sb="2" eb="3">
      <t>ネン</t>
    </rPh>
    <rPh sb="5" eb="6">
      <t>ゲツ</t>
    </rPh>
    <phoneticPr fontId="2"/>
  </si>
  <si>
    <t>39年2ヶ月</t>
    <rPh sb="2" eb="3">
      <t>ネン</t>
    </rPh>
    <rPh sb="5" eb="6">
      <t>ゲツ</t>
    </rPh>
    <phoneticPr fontId="2"/>
  </si>
  <si>
    <t>39年3ヶ月</t>
    <rPh sb="2" eb="3">
      <t>ネン</t>
    </rPh>
    <rPh sb="5" eb="6">
      <t>ゲツ</t>
    </rPh>
    <phoneticPr fontId="2"/>
  </si>
  <si>
    <t>39年4ヶ月</t>
    <rPh sb="2" eb="3">
      <t>ネン</t>
    </rPh>
    <rPh sb="5" eb="6">
      <t>ゲツ</t>
    </rPh>
    <phoneticPr fontId="2"/>
  </si>
  <si>
    <t>39年5ヶ月</t>
    <rPh sb="2" eb="3">
      <t>ネン</t>
    </rPh>
    <rPh sb="5" eb="6">
      <t>ゲツ</t>
    </rPh>
    <phoneticPr fontId="2"/>
  </si>
  <si>
    <t>39年6ヶ月</t>
    <rPh sb="2" eb="3">
      <t>ネン</t>
    </rPh>
    <rPh sb="5" eb="6">
      <t>ゲツ</t>
    </rPh>
    <phoneticPr fontId="2"/>
  </si>
  <si>
    <t>39年7ヶ月</t>
    <rPh sb="2" eb="3">
      <t>ネン</t>
    </rPh>
    <rPh sb="5" eb="6">
      <t>ゲツ</t>
    </rPh>
    <phoneticPr fontId="2"/>
  </si>
  <si>
    <t>39年8ヶ月</t>
    <rPh sb="2" eb="3">
      <t>ネン</t>
    </rPh>
    <rPh sb="5" eb="6">
      <t>ゲツ</t>
    </rPh>
    <phoneticPr fontId="2"/>
  </si>
  <si>
    <t>39年9ヶ月</t>
    <rPh sb="2" eb="3">
      <t>ネン</t>
    </rPh>
    <rPh sb="5" eb="6">
      <t>ゲツ</t>
    </rPh>
    <phoneticPr fontId="2"/>
  </si>
  <si>
    <t>39年10ヶ月</t>
    <rPh sb="2" eb="3">
      <t>ネン</t>
    </rPh>
    <rPh sb="6" eb="7">
      <t>ゲツ</t>
    </rPh>
    <phoneticPr fontId="2"/>
  </si>
  <si>
    <t>39年11ヶ月</t>
    <rPh sb="2" eb="3">
      <t>ネン</t>
    </rPh>
    <rPh sb="6" eb="7">
      <t>ゲツ</t>
    </rPh>
    <phoneticPr fontId="2"/>
  </si>
  <si>
    <t>40年0ヶ月</t>
    <rPh sb="2" eb="3">
      <t>ネン</t>
    </rPh>
    <rPh sb="5" eb="6">
      <t>ゲツ</t>
    </rPh>
    <phoneticPr fontId="2"/>
  </si>
  <si>
    <t>退職金起算日
（入社日の１ヶ月後）
（さぽーとさっぽろ加入者は２ヶ月後から）</t>
    <rPh sb="0" eb="3">
      <t>タイショクキン</t>
    </rPh>
    <rPh sb="3" eb="5">
      <t>キサン</t>
    </rPh>
    <rPh sb="5" eb="6">
      <t>ビ</t>
    </rPh>
    <rPh sb="8" eb="11">
      <t>ニュウシャビ</t>
    </rPh>
    <rPh sb="14" eb="16">
      <t>ゲツゴ</t>
    </rPh>
    <rPh sb="27" eb="30">
      <t>カニュウシャ</t>
    </rPh>
    <rPh sb="33" eb="35">
      <t>ゲツゴ</t>
    </rPh>
    <phoneticPr fontId="2"/>
  </si>
  <si>
    <t>-</t>
    <phoneticPr fontId="2"/>
  </si>
  <si>
    <t>澤口</t>
    <rPh sb="0" eb="2">
      <t>サワグチ</t>
    </rPh>
    <phoneticPr fontId="2"/>
  </si>
  <si>
    <t>澤口</t>
    <rPh sb="0" eb="2">
      <t>サワグチ</t>
    </rPh>
    <phoneticPr fontId="2"/>
  </si>
  <si>
    <t>-</t>
    <phoneticPr fontId="2"/>
  </si>
  <si>
    <t>奥井</t>
    <rPh sb="0" eb="2">
      <t>オクイ</t>
    </rPh>
    <phoneticPr fontId="2"/>
  </si>
  <si>
    <t>※陳野原準職員退職月まで積立額：2ヶ月分＝2,800円</t>
    <rPh sb="1" eb="4">
      <t>ジンノハラ</t>
    </rPh>
    <rPh sb="4" eb="7">
      <t>ジュンショクイン</t>
    </rPh>
    <rPh sb="7" eb="9">
      <t>タイショク</t>
    </rPh>
    <rPh sb="9" eb="10">
      <t>ツキ</t>
    </rPh>
    <rPh sb="12" eb="14">
      <t>ツミタテ</t>
    </rPh>
    <rPh sb="14" eb="15">
      <t>ガク</t>
    </rPh>
    <rPh sb="18" eb="20">
      <t>ゲツブン</t>
    </rPh>
    <rPh sb="26" eb="27">
      <t>エン</t>
    </rPh>
    <phoneticPr fontId="2"/>
  </si>
  <si>
    <t>２９年度末
累計積立見合額</t>
    <rPh sb="2" eb="3">
      <t>ネン</t>
    </rPh>
    <rPh sb="3" eb="4">
      <t>ド</t>
    </rPh>
    <rPh sb="4" eb="5">
      <t>マツ</t>
    </rPh>
    <rPh sb="6" eb="8">
      <t>ルイケイ</t>
    </rPh>
    <rPh sb="8" eb="10">
      <t>ツミタテ</t>
    </rPh>
    <rPh sb="10" eb="12">
      <t>ミアイ</t>
    </rPh>
    <rPh sb="12" eb="13">
      <t>ガク</t>
    </rPh>
    <phoneticPr fontId="2"/>
  </si>
  <si>
    <t>２９年度末</t>
    <rPh sb="2" eb="5">
      <t>ネンドマツ</t>
    </rPh>
    <phoneticPr fontId="2"/>
  </si>
  <si>
    <t>２９年度末迄</t>
    <rPh sb="2" eb="3">
      <t>ネン</t>
    </rPh>
    <rPh sb="3" eb="4">
      <t>ド</t>
    </rPh>
    <rPh sb="4" eb="5">
      <t>マツ</t>
    </rPh>
    <rPh sb="5" eb="6">
      <t>マデ</t>
    </rPh>
    <phoneticPr fontId="2"/>
  </si>
  <si>
    <t>岩崎</t>
    <rPh sb="0" eb="2">
      <t>イワサキ</t>
    </rPh>
    <phoneticPr fontId="2"/>
  </si>
  <si>
    <t>-</t>
    <phoneticPr fontId="2"/>
  </si>
  <si>
    <t>釧路支社営業部</t>
    <rPh sb="0" eb="2">
      <t>クシロ</t>
    </rPh>
    <rPh sb="2" eb="4">
      <t>シシャ</t>
    </rPh>
    <rPh sb="4" eb="6">
      <t>エイギョウ</t>
    </rPh>
    <rPh sb="6" eb="7">
      <t>ブ</t>
    </rPh>
    <phoneticPr fontId="2"/>
  </si>
  <si>
    <t>俵準職員の定年到達は平成28年9月13日。退職金支給額の計算を行う。</t>
    <rPh sb="0" eb="1">
      <t>タワラ</t>
    </rPh>
    <rPh sb="1" eb="4">
      <t>ジュンショクイン</t>
    </rPh>
    <rPh sb="5" eb="7">
      <t>テイネン</t>
    </rPh>
    <rPh sb="7" eb="9">
      <t>トウタツ</t>
    </rPh>
    <rPh sb="10" eb="12">
      <t>ヘイセイ</t>
    </rPh>
    <rPh sb="14" eb="15">
      <t>ネン</t>
    </rPh>
    <rPh sb="16" eb="17">
      <t>ガツ</t>
    </rPh>
    <rPh sb="19" eb="20">
      <t>ニチ</t>
    </rPh>
    <rPh sb="21" eb="24">
      <t>タイショクキン</t>
    </rPh>
    <rPh sb="24" eb="27">
      <t>シキュウガク</t>
    </rPh>
    <rPh sb="28" eb="30">
      <t>ケイサン</t>
    </rPh>
    <rPh sb="31" eb="32">
      <t>オコナ</t>
    </rPh>
    <phoneticPr fontId="2"/>
  </si>
  <si>
    <t>高森準職員の定年到達は平成29年1月30日。退職金支給額の計算を行う。</t>
    <rPh sb="0" eb="2">
      <t>タカモリ</t>
    </rPh>
    <rPh sb="2" eb="5">
      <t>ジュンショクイン</t>
    </rPh>
    <rPh sb="6" eb="8">
      <t>テイネン</t>
    </rPh>
    <rPh sb="8" eb="10">
      <t>トウタツ</t>
    </rPh>
    <rPh sb="11" eb="13">
      <t>ヘイセイ</t>
    </rPh>
    <rPh sb="15" eb="16">
      <t>ネン</t>
    </rPh>
    <rPh sb="17" eb="18">
      <t>ガツ</t>
    </rPh>
    <rPh sb="20" eb="21">
      <t>ニチ</t>
    </rPh>
    <rPh sb="22" eb="25">
      <t>タイショクキン</t>
    </rPh>
    <rPh sb="25" eb="28">
      <t>シキュウガク</t>
    </rPh>
    <rPh sb="29" eb="31">
      <t>ケイサン</t>
    </rPh>
    <rPh sb="32" eb="33">
      <t>オコナ</t>
    </rPh>
    <phoneticPr fontId="2"/>
  </si>
  <si>
    <t>計18名</t>
    <rPh sb="0" eb="1">
      <t>ケイ</t>
    </rPh>
    <rPh sb="3" eb="4">
      <t>メイ</t>
    </rPh>
    <phoneticPr fontId="2"/>
  </si>
  <si>
    <t>28年度伸び額</t>
    <rPh sb="2" eb="3">
      <t>ネン</t>
    </rPh>
    <rPh sb="3" eb="4">
      <t>ド</t>
    </rPh>
    <rPh sb="4" eb="5">
      <t>ノ</t>
    </rPh>
    <rPh sb="6" eb="7">
      <t>ガク</t>
    </rPh>
    <phoneticPr fontId="2"/>
  </si>
  <si>
    <t>27年度伸び額</t>
    <rPh sb="2" eb="3">
      <t>ネン</t>
    </rPh>
    <rPh sb="3" eb="4">
      <t>ド</t>
    </rPh>
    <rPh sb="4" eb="5">
      <t>ノ</t>
    </rPh>
    <rPh sb="6" eb="7">
      <t>ガク</t>
    </rPh>
    <phoneticPr fontId="2"/>
  </si>
  <si>
    <t>蠟山</t>
    <rPh sb="0" eb="2">
      <t>ロウヤマ</t>
    </rPh>
    <phoneticPr fontId="2"/>
  </si>
  <si>
    <t>引田</t>
    <rPh sb="0" eb="2">
      <t>ヒキタ</t>
    </rPh>
    <phoneticPr fontId="2"/>
  </si>
  <si>
    <t>古村</t>
    <rPh sb="0" eb="2">
      <t>フルムラ</t>
    </rPh>
    <phoneticPr fontId="2"/>
  </si>
  <si>
    <t>佐々木幸</t>
    <rPh sb="0" eb="3">
      <t>ササキ</t>
    </rPh>
    <rPh sb="3" eb="4">
      <t>ユキ</t>
    </rPh>
    <phoneticPr fontId="2"/>
  </si>
  <si>
    <t>佐々木和</t>
    <rPh sb="0" eb="3">
      <t>ササキ</t>
    </rPh>
    <rPh sb="3" eb="4">
      <t>カズ</t>
    </rPh>
    <phoneticPr fontId="2"/>
  </si>
  <si>
    <t>佐藤路</t>
    <rPh sb="0" eb="2">
      <t>サトウ</t>
    </rPh>
    <rPh sb="2" eb="3">
      <t>ミチ</t>
    </rPh>
    <phoneticPr fontId="2"/>
  </si>
  <si>
    <t>玉田</t>
    <rPh sb="0" eb="2">
      <t>タマダ</t>
    </rPh>
    <phoneticPr fontId="2"/>
  </si>
  <si>
    <t>田中隆</t>
    <rPh sb="0" eb="2">
      <t>タナカ</t>
    </rPh>
    <rPh sb="2" eb="3">
      <t>タカシ</t>
    </rPh>
    <phoneticPr fontId="2"/>
  </si>
  <si>
    <t>佐藤裕</t>
    <rPh sb="0" eb="2">
      <t>サトウ</t>
    </rPh>
    <rPh sb="2" eb="3">
      <t>ユウ</t>
    </rPh>
    <phoneticPr fontId="2"/>
  </si>
  <si>
    <t>資源部美唄炭砿</t>
    <rPh sb="0" eb="2">
      <t>シゲン</t>
    </rPh>
    <rPh sb="2" eb="3">
      <t>ブ</t>
    </rPh>
    <rPh sb="3" eb="5">
      <t>ビバイ</t>
    </rPh>
    <rPh sb="5" eb="7">
      <t>タンコウ</t>
    </rPh>
    <phoneticPr fontId="2"/>
  </si>
  <si>
    <t>倉庫部石狩倉庫課</t>
    <rPh sb="0" eb="2">
      <t>ソウコ</t>
    </rPh>
    <rPh sb="2" eb="3">
      <t>ブ</t>
    </rPh>
    <rPh sb="3" eb="5">
      <t>イシカリ</t>
    </rPh>
    <rPh sb="5" eb="7">
      <t>ソウコ</t>
    </rPh>
    <rPh sb="7" eb="8">
      <t>カ</t>
    </rPh>
    <phoneticPr fontId="2"/>
  </si>
  <si>
    <t>資源部管理課</t>
    <rPh sb="0" eb="2">
      <t>シゲン</t>
    </rPh>
    <rPh sb="2" eb="3">
      <t>ブ</t>
    </rPh>
    <rPh sb="3" eb="6">
      <t>カンリカ</t>
    </rPh>
    <phoneticPr fontId="2"/>
  </si>
  <si>
    <t>倉庫部釧路倉庫課</t>
    <rPh sb="0" eb="2">
      <t>ソウコ</t>
    </rPh>
    <rPh sb="2" eb="3">
      <t>ブ</t>
    </rPh>
    <rPh sb="3" eb="5">
      <t>クシロ</t>
    </rPh>
    <rPh sb="5" eb="7">
      <t>ソウコ</t>
    </rPh>
    <rPh sb="7" eb="8">
      <t>カ</t>
    </rPh>
    <phoneticPr fontId="2"/>
  </si>
  <si>
    <t>計22名</t>
    <rPh sb="0" eb="1">
      <t>ケイ</t>
    </rPh>
    <rPh sb="3" eb="4">
      <t>メイ</t>
    </rPh>
    <phoneticPr fontId="2"/>
  </si>
  <si>
    <t>29年度伸び額</t>
    <rPh sb="2" eb="3">
      <t>ネン</t>
    </rPh>
    <rPh sb="3" eb="4">
      <t>ド</t>
    </rPh>
    <rPh sb="4" eb="5">
      <t>ノ</t>
    </rPh>
    <rPh sb="6" eb="7">
      <t>ガク</t>
    </rPh>
    <phoneticPr fontId="2"/>
  </si>
  <si>
    <t>六渡準職員の定年到達は平成29年12月28日。退職金支給額の計算を行う。</t>
    <rPh sb="0" eb="2">
      <t>ロクワタリ</t>
    </rPh>
    <rPh sb="2" eb="5">
      <t>ジュンショクイン</t>
    </rPh>
    <rPh sb="6" eb="8">
      <t>テイネン</t>
    </rPh>
    <rPh sb="8" eb="10">
      <t>トウタツ</t>
    </rPh>
    <rPh sb="11" eb="13">
      <t>ヘイセイ</t>
    </rPh>
    <rPh sb="15" eb="16">
      <t>ネン</t>
    </rPh>
    <rPh sb="18" eb="19">
      <t>ガツ</t>
    </rPh>
    <rPh sb="21" eb="22">
      <t>ニチ</t>
    </rPh>
    <rPh sb="23" eb="26">
      <t>タイショクキン</t>
    </rPh>
    <rPh sb="26" eb="29">
      <t>シキュウガク</t>
    </rPh>
    <rPh sb="30" eb="32">
      <t>ケイサン</t>
    </rPh>
    <rPh sb="33" eb="34">
      <t>オコナ</t>
    </rPh>
    <phoneticPr fontId="2"/>
  </si>
  <si>
    <t>赤枝</t>
    <rPh sb="0" eb="2">
      <t>アカエダ</t>
    </rPh>
    <phoneticPr fontId="2"/>
  </si>
  <si>
    <t>-</t>
    <phoneticPr fontId="2"/>
  </si>
  <si>
    <t>倉庫部札幌倉庫課</t>
    <rPh sb="0" eb="2">
      <t>ソウコ</t>
    </rPh>
    <rPh sb="2" eb="3">
      <t>ブ</t>
    </rPh>
    <rPh sb="3" eb="5">
      <t>サッポロ</t>
    </rPh>
    <rPh sb="5" eb="7">
      <t>ソウコ</t>
    </rPh>
    <rPh sb="7" eb="8">
      <t>カ</t>
    </rPh>
    <phoneticPr fontId="2"/>
  </si>
  <si>
    <t>→定年到達者</t>
    <rPh sb="1" eb="3">
      <t>テイネン</t>
    </rPh>
    <rPh sb="3" eb="5">
      <t>トウタツ</t>
    </rPh>
    <rPh sb="5" eb="6">
      <t>シャ</t>
    </rPh>
    <phoneticPr fontId="2"/>
  </si>
  <si>
    <t>→自己都合退職者</t>
    <rPh sb="1" eb="3">
      <t>ジコ</t>
    </rPh>
    <rPh sb="3" eb="5">
      <t>ツゴウ</t>
    </rPh>
    <rPh sb="5" eb="8">
      <t>タイショクシャ</t>
    </rPh>
    <phoneticPr fontId="2"/>
  </si>
  <si>
    <t>資源部福井砕石所</t>
    <rPh sb="0" eb="2">
      <t>シゲン</t>
    </rPh>
    <rPh sb="2" eb="3">
      <t>ブ</t>
    </rPh>
    <rPh sb="3" eb="5">
      <t>フクイ</t>
    </rPh>
    <rPh sb="5" eb="7">
      <t>サイセキ</t>
    </rPh>
    <rPh sb="7" eb="8">
      <t>ショ</t>
    </rPh>
    <phoneticPr fontId="2"/>
  </si>
  <si>
    <t>２９年度末
累計積立
見合額</t>
    <rPh sb="2" eb="3">
      <t>ネン</t>
    </rPh>
    <rPh sb="3" eb="4">
      <t>ド</t>
    </rPh>
    <rPh sb="4" eb="5">
      <t>マツ</t>
    </rPh>
    <rPh sb="6" eb="8">
      <t>ルイケイ</t>
    </rPh>
    <rPh sb="8" eb="10">
      <t>ツミタテ</t>
    </rPh>
    <rPh sb="11" eb="13">
      <t>ミアイ</t>
    </rPh>
    <rPh sb="13" eb="14">
      <t>ガク</t>
    </rPh>
    <phoneticPr fontId="2"/>
  </si>
  <si>
    <t>予算用H28-H29伸び額</t>
    <rPh sb="0" eb="2">
      <t>ヨサン</t>
    </rPh>
    <rPh sb="2" eb="3">
      <t>ヨウ</t>
    </rPh>
    <rPh sb="10" eb="11">
      <t>ノ</t>
    </rPh>
    <rPh sb="12" eb="13">
      <t>ガク</t>
    </rPh>
    <phoneticPr fontId="2"/>
  </si>
  <si>
    <t>→自己都合等退職者</t>
    <rPh sb="1" eb="3">
      <t>ジコ</t>
    </rPh>
    <rPh sb="3" eb="5">
      <t>ツゴウ</t>
    </rPh>
    <rPh sb="5" eb="6">
      <t>トウ</t>
    </rPh>
    <rPh sb="6" eb="8">
      <t>タイショク</t>
    </rPh>
    <rPh sb="8" eb="9">
      <t>シャ</t>
    </rPh>
    <phoneticPr fontId="2"/>
  </si>
  <si>
    <t>２８年度末
累計積立
見合額</t>
    <rPh sb="2" eb="3">
      <t>ネン</t>
    </rPh>
    <rPh sb="3" eb="4">
      <t>ド</t>
    </rPh>
    <rPh sb="4" eb="5">
      <t>マツ</t>
    </rPh>
    <rPh sb="6" eb="8">
      <t>ルイケイ</t>
    </rPh>
    <rPh sb="8" eb="10">
      <t>ツミタテ</t>
    </rPh>
    <rPh sb="11" eb="13">
      <t>ミアイ</t>
    </rPh>
    <rPh sb="13" eb="14">
      <t>ガク</t>
    </rPh>
    <phoneticPr fontId="2"/>
  </si>
  <si>
    <t>→自己都合等退職者</t>
    <rPh sb="1" eb="3">
      <t>ジコ</t>
    </rPh>
    <rPh sb="3" eb="5">
      <t>ツゴウ</t>
    </rPh>
    <rPh sb="5" eb="6">
      <t>トウ</t>
    </rPh>
    <rPh sb="6" eb="9">
      <t>タイショクシャ</t>
    </rPh>
    <phoneticPr fontId="2"/>
  </si>
  <si>
    <t>累計積立
見合額
（Ａ）</t>
    <rPh sb="0" eb="2">
      <t>ルイケイ</t>
    </rPh>
    <rPh sb="2" eb="4">
      <t>ツミタテ</t>
    </rPh>
    <rPh sb="5" eb="7">
      <t>ミアイ</t>
    </rPh>
    <rPh sb="7" eb="8">
      <t>ガク</t>
    </rPh>
    <phoneticPr fontId="2"/>
  </si>
  <si>
    <t>支払想定額
（Ｂ）</t>
    <rPh sb="0" eb="2">
      <t>シハライ</t>
    </rPh>
    <rPh sb="2" eb="4">
      <t>ソウテイ</t>
    </rPh>
    <rPh sb="4" eb="5">
      <t>ガク</t>
    </rPh>
    <phoneticPr fontId="2"/>
  </si>
  <si>
    <t>（Ａ）-（Ｂ）
差額</t>
    <rPh sb="8" eb="10">
      <t>サガク</t>
    </rPh>
    <phoneticPr fontId="2"/>
  </si>
  <si>
    <t>準職員（常勤）退職金期末額　対比</t>
    <rPh sb="0" eb="3">
      <t>ジュンショクイン</t>
    </rPh>
    <rPh sb="4" eb="6">
      <t>ジョウキン</t>
    </rPh>
    <rPh sb="7" eb="10">
      <t>タイショクキン</t>
    </rPh>
    <rPh sb="10" eb="12">
      <t>キマツ</t>
    </rPh>
    <rPh sb="12" eb="13">
      <t>ガク</t>
    </rPh>
    <rPh sb="14" eb="16">
      <t>タイヒ</t>
    </rPh>
    <phoneticPr fontId="2"/>
  </si>
  <si>
    <t>28.6末自己都合退職</t>
    <rPh sb="4" eb="5">
      <t>マツ</t>
    </rPh>
    <rPh sb="5" eb="7">
      <t>ジコ</t>
    </rPh>
    <rPh sb="7" eb="9">
      <t>ツゴウ</t>
    </rPh>
    <rPh sb="9" eb="11">
      <t>タイショク</t>
    </rPh>
    <phoneticPr fontId="2"/>
  </si>
  <si>
    <t>28.9定年到達</t>
    <rPh sb="4" eb="6">
      <t>テイネン</t>
    </rPh>
    <rPh sb="6" eb="8">
      <t>トウタツ</t>
    </rPh>
    <phoneticPr fontId="2"/>
  </si>
  <si>
    <t>29.1定年到達</t>
    <rPh sb="4" eb="6">
      <t>テイネン</t>
    </rPh>
    <rPh sb="6" eb="8">
      <t>トウタツ</t>
    </rPh>
    <phoneticPr fontId="2"/>
  </si>
  <si>
    <t>28.8末自己都合退職</t>
    <rPh sb="4" eb="5">
      <t>マツ</t>
    </rPh>
    <rPh sb="5" eb="9">
      <t>ジコツゴウ</t>
    </rPh>
    <rPh sb="9" eb="11">
      <t>タイショク</t>
    </rPh>
    <phoneticPr fontId="2"/>
  </si>
  <si>
    <t>28.9末試用期間満了退職</t>
    <rPh sb="4" eb="5">
      <t>マツ</t>
    </rPh>
    <rPh sb="5" eb="7">
      <t>シヨウ</t>
    </rPh>
    <rPh sb="7" eb="9">
      <t>キカン</t>
    </rPh>
    <rPh sb="9" eb="11">
      <t>マンリョウ</t>
    </rPh>
    <rPh sb="11" eb="13">
      <t>タイショク</t>
    </rPh>
    <phoneticPr fontId="2"/>
  </si>
  <si>
    <t>上記計算は29年度在籍者のみ対象。</t>
    <rPh sb="0" eb="2">
      <t>ジョウキ</t>
    </rPh>
    <rPh sb="2" eb="4">
      <t>ケイサン</t>
    </rPh>
    <rPh sb="7" eb="9">
      <t>ネンド</t>
    </rPh>
    <rPh sb="9" eb="12">
      <t>ザイセキシャ</t>
    </rPh>
    <rPh sb="14" eb="16">
      <t>タイショウ</t>
    </rPh>
    <phoneticPr fontId="2"/>
  </si>
  <si>
    <t>準職員退職金推移表</t>
    <rPh sb="0" eb="3">
      <t>ジュンショクイン</t>
    </rPh>
    <rPh sb="3" eb="6">
      <t>タイショクキン</t>
    </rPh>
    <rPh sb="6" eb="8">
      <t>スイイ</t>
    </rPh>
    <rPh sb="8" eb="9">
      <t>ヒョウ</t>
    </rPh>
    <phoneticPr fontId="2"/>
  </si>
  <si>
    <t>28年度途中の退職者及び定年到達者は対象外。</t>
    <rPh sb="2" eb="4">
      <t>ネンド</t>
    </rPh>
    <rPh sb="4" eb="6">
      <t>トチュウ</t>
    </rPh>
    <rPh sb="7" eb="9">
      <t>タイショク</t>
    </rPh>
    <rPh sb="9" eb="10">
      <t>シャ</t>
    </rPh>
    <rPh sb="10" eb="11">
      <t>オヨ</t>
    </rPh>
    <rPh sb="12" eb="14">
      <t>テイネン</t>
    </rPh>
    <rPh sb="14" eb="16">
      <t>トウタツ</t>
    </rPh>
    <rPh sb="16" eb="17">
      <t>シャ</t>
    </rPh>
    <rPh sb="18" eb="21">
      <t>タイショウガイ</t>
    </rPh>
    <phoneticPr fontId="2"/>
  </si>
  <si>
    <t>印刷日：</t>
    <rPh sb="0" eb="2">
      <t>インサツ</t>
    </rPh>
    <rPh sb="2" eb="3">
      <t>ビ</t>
    </rPh>
    <phoneticPr fontId="2"/>
  </si>
  <si>
    <t>退職時支給率を計上する。</t>
    <rPh sb="0" eb="2">
      <t>タイショク</t>
    </rPh>
    <rPh sb="2" eb="3">
      <t>ジ</t>
    </rPh>
    <rPh sb="3" eb="6">
      <t>シキュウリツ</t>
    </rPh>
    <rPh sb="7" eb="9">
      <t>ケイジョウ</t>
    </rPh>
    <phoneticPr fontId="2"/>
  </si>
</sst>
</file>

<file path=xl/styles.xml><?xml version="1.0" encoding="utf-8"?>
<styleSheet xmlns="http://schemas.openxmlformats.org/spreadsheetml/2006/main" xmlns:mc="http://schemas.openxmlformats.org/markup-compatibility/2006" xmlns:x14ac="http://schemas.microsoft.com/office/spreadsheetml/2009/9/ac" mc:Ignorable="x14ac">
  <numFmts count="11">
    <numFmt numFmtId="5" formatCode="&quot;¥&quot;#,##0;&quot;¥&quot;\-#,##0"/>
    <numFmt numFmtId="6" formatCode="&quot;¥&quot;#,##0;[Red]&quot;¥&quot;\-#,##0"/>
    <numFmt numFmtId="176" formatCode="&quot;¥&quot;#,##0_);[Red]\(&quot;¥&quot;#,##0\)"/>
    <numFmt numFmtId="177" formatCode="0_ "/>
    <numFmt numFmtId="178" formatCode="yyyy/m/d;@"/>
    <numFmt numFmtId="179" formatCode="#,##0_ "/>
    <numFmt numFmtId="180" formatCode="0_);[Red]\(0\)"/>
    <numFmt numFmtId="181" formatCode="[$-411]ggge&quot;年&quot;m&quot;月&quot;d&quot;日&quot;;@"/>
    <numFmt numFmtId="182" formatCode="#,##0_);[Red]\(#,##0\)"/>
    <numFmt numFmtId="183" formatCode="0.0000%"/>
    <numFmt numFmtId="184" formatCode="0.000%"/>
  </numFmts>
  <fonts count="10">
    <font>
      <sz val="11"/>
      <name val="ＭＳ Ｐゴシック"/>
      <family val="3"/>
      <charset val="128"/>
    </font>
    <font>
      <sz val="12"/>
      <name val="ＭＳ Ｐゴシック"/>
      <family val="3"/>
      <charset val="128"/>
    </font>
    <font>
      <sz val="6"/>
      <name val="ＭＳ Ｐゴシック"/>
      <family val="3"/>
      <charset val="128"/>
    </font>
    <font>
      <sz val="9"/>
      <name val="ＭＳ Ｐゴシック"/>
      <family val="3"/>
      <charset val="128"/>
    </font>
    <font>
      <sz val="11"/>
      <color rgb="FF0066CC"/>
      <name val="ＭＳ Ｐゴシック"/>
      <family val="3"/>
      <charset val="128"/>
    </font>
    <font>
      <sz val="10"/>
      <name val="ＭＳ Ｐゴシック"/>
      <family val="3"/>
      <charset val="128"/>
    </font>
    <font>
      <sz val="8"/>
      <name val="ＭＳ Ｐゴシック"/>
      <family val="3"/>
      <charset val="128"/>
    </font>
    <font>
      <strike/>
      <sz val="11"/>
      <name val="ＭＳ Ｐゴシック"/>
      <family val="3"/>
      <charset val="128"/>
    </font>
    <font>
      <sz val="9"/>
      <color indexed="81"/>
      <name val="ＭＳ Ｐゴシック"/>
      <family val="3"/>
      <charset val="128"/>
    </font>
    <font>
      <b/>
      <sz val="9"/>
      <color indexed="81"/>
      <name val="ＭＳ Ｐゴシック"/>
      <family val="3"/>
      <charset val="128"/>
    </font>
  </fonts>
  <fills count="4">
    <fill>
      <patternFill patternType="none"/>
    </fill>
    <fill>
      <patternFill patternType="gray125"/>
    </fill>
    <fill>
      <patternFill patternType="solid">
        <fgColor theme="8" tint="0.59999389629810485"/>
        <bgColor indexed="64"/>
      </patternFill>
    </fill>
    <fill>
      <patternFill patternType="solid">
        <fgColor rgb="FFFFFF00"/>
        <bgColor indexed="64"/>
      </patternFill>
    </fill>
  </fills>
  <borders count="47">
    <border>
      <left/>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bottom/>
      <diagonal/>
    </border>
    <border>
      <left/>
      <right style="thin">
        <color indexed="64"/>
      </right>
      <top/>
      <bottom/>
      <diagonal/>
    </border>
    <border>
      <left style="medium">
        <color indexed="64"/>
      </left>
      <right style="medium">
        <color indexed="64"/>
      </right>
      <top style="thin">
        <color indexed="64"/>
      </top>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style="thin">
        <color indexed="64"/>
      </bottom>
      <diagonal style="thin">
        <color indexed="64"/>
      </diagonal>
    </border>
    <border>
      <left/>
      <right/>
      <top/>
      <bottom style="thin">
        <color indexed="64"/>
      </bottom>
      <diagonal/>
    </border>
    <border>
      <left/>
      <right/>
      <top style="thin">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diagonalUp="1">
      <left style="medium">
        <color indexed="64"/>
      </left>
      <right style="thin">
        <color indexed="64"/>
      </right>
      <top style="thin">
        <color indexed="64"/>
      </top>
      <bottom style="thin">
        <color indexed="64"/>
      </bottom>
      <diagonal style="thin">
        <color indexed="64"/>
      </diagonal>
    </border>
    <border diagonalUp="1">
      <left style="thin">
        <color indexed="64"/>
      </left>
      <right style="medium">
        <color indexed="64"/>
      </right>
      <top style="thin">
        <color indexed="64"/>
      </top>
      <bottom style="thin">
        <color indexed="64"/>
      </bottom>
      <diagonal style="thin">
        <color indexed="64"/>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diagonalUp="1">
      <left style="medium">
        <color indexed="64"/>
      </left>
      <right style="medium">
        <color indexed="64"/>
      </right>
      <top style="thin">
        <color indexed="64"/>
      </top>
      <bottom style="thin">
        <color indexed="64"/>
      </bottom>
      <diagonal style="thin">
        <color indexed="64"/>
      </diagonal>
    </border>
  </borders>
  <cellStyleXfs count="1">
    <xf numFmtId="0" fontId="0" fillId="0" borderId="0"/>
  </cellStyleXfs>
  <cellXfs count="278">
    <xf numFmtId="0" fontId="0" fillId="0" borderId="0" xfId="0"/>
    <xf numFmtId="0" fontId="0" fillId="0" borderId="0" xfId="0" applyFont="1" applyFill="1" applyBorder="1"/>
    <xf numFmtId="0" fontId="1" fillId="0" borderId="0" xfId="0" applyFont="1" applyFill="1"/>
    <xf numFmtId="0" fontId="0" fillId="0" borderId="0" xfId="0" applyFont="1" applyFill="1"/>
    <xf numFmtId="0" fontId="0" fillId="0" borderId="3" xfId="0" applyFont="1" applyFill="1" applyBorder="1" applyAlignment="1">
      <alignment horizontal="center"/>
    </xf>
    <xf numFmtId="0" fontId="0" fillId="0" borderId="6" xfId="0" applyFont="1" applyFill="1" applyBorder="1" applyAlignment="1">
      <alignment horizontal="center" shrinkToFit="1"/>
    </xf>
    <xf numFmtId="0" fontId="0" fillId="0" borderId="1" xfId="0" applyFont="1" applyFill="1" applyBorder="1" applyAlignment="1">
      <alignment horizontal="center" shrinkToFit="1"/>
    </xf>
    <xf numFmtId="0" fontId="0" fillId="0" borderId="7" xfId="0" applyFont="1" applyFill="1" applyBorder="1" applyAlignment="1">
      <alignment horizontal="center" shrinkToFit="1"/>
    </xf>
    <xf numFmtId="0" fontId="0" fillId="0" borderId="2" xfId="0" applyFont="1" applyFill="1" applyBorder="1" applyAlignment="1">
      <alignment horizontal="center" shrinkToFit="1"/>
    </xf>
    <xf numFmtId="0" fontId="0" fillId="0" borderId="0" xfId="0" applyFont="1" applyFill="1" applyAlignment="1">
      <alignment vertical="center"/>
    </xf>
    <xf numFmtId="0" fontId="0" fillId="0" borderId="9" xfId="0" applyFont="1" applyFill="1" applyBorder="1" applyAlignment="1">
      <alignment horizontal="center" vertical="top"/>
    </xf>
    <xf numFmtId="0" fontId="0" fillId="0" borderId="11" xfId="0" applyFont="1" applyFill="1" applyBorder="1" applyAlignment="1">
      <alignment horizontal="center" vertical="top" shrinkToFit="1"/>
    </xf>
    <xf numFmtId="0" fontId="0" fillId="0" borderId="8" xfId="0" applyFont="1" applyFill="1" applyBorder="1" applyAlignment="1">
      <alignment horizontal="center" vertical="top" shrinkToFit="1"/>
    </xf>
    <xf numFmtId="0" fontId="0" fillId="0" borderId="12" xfId="0" applyFont="1" applyFill="1" applyBorder="1" applyAlignment="1">
      <alignment horizontal="center" vertical="top" shrinkToFit="1"/>
    </xf>
    <xf numFmtId="0" fontId="0" fillId="0" borderId="9" xfId="0" applyFont="1" applyFill="1" applyBorder="1" applyAlignment="1">
      <alignment horizontal="center" vertical="top" shrinkToFit="1"/>
    </xf>
    <xf numFmtId="0" fontId="0" fillId="0" borderId="10" xfId="0" applyFont="1" applyFill="1" applyBorder="1" applyAlignment="1">
      <alignment horizontal="left" vertical="center"/>
    </xf>
    <xf numFmtId="5" fontId="0" fillId="0" borderId="10" xfId="0" applyNumberFormat="1" applyFont="1" applyFill="1" applyBorder="1" applyAlignment="1">
      <alignment horizontal="right" vertical="center"/>
    </xf>
    <xf numFmtId="0" fontId="0" fillId="0" borderId="10" xfId="0" applyFont="1" applyFill="1" applyBorder="1" applyAlignment="1">
      <alignment vertical="center"/>
    </xf>
    <xf numFmtId="0" fontId="4" fillId="0" borderId="0" xfId="0" applyFont="1" applyFill="1" applyAlignment="1">
      <alignment horizontal="left" vertical="center"/>
    </xf>
    <xf numFmtId="179" fontId="0" fillId="0" borderId="0" xfId="0" applyNumberFormat="1" applyFont="1" applyFill="1" applyAlignment="1">
      <alignment horizontal="right"/>
    </xf>
    <xf numFmtId="10" fontId="0" fillId="0" borderId="0" xfId="0" applyNumberFormat="1" applyFont="1" applyFill="1"/>
    <xf numFmtId="0" fontId="0" fillId="0" borderId="0" xfId="0" applyFont="1" applyFill="1" applyBorder="1" applyAlignment="1">
      <alignment horizontal="right"/>
    </xf>
    <xf numFmtId="0" fontId="0" fillId="0" borderId="0" xfId="0" applyFont="1" applyFill="1" applyAlignment="1">
      <alignment shrinkToFit="1"/>
    </xf>
    <xf numFmtId="0" fontId="0" fillId="0" borderId="10" xfId="0" applyFont="1" applyFill="1" applyBorder="1" applyAlignment="1">
      <alignment horizontal="center" shrinkToFit="1"/>
    </xf>
    <xf numFmtId="0" fontId="0" fillId="0" borderId="6" xfId="0" applyFont="1" applyFill="1" applyBorder="1"/>
    <xf numFmtId="0" fontId="0" fillId="0" borderId="11" xfId="0" applyFont="1" applyFill="1" applyBorder="1" applyAlignment="1">
      <alignment horizontal="center" shrinkToFit="1"/>
    </xf>
    <xf numFmtId="0" fontId="0" fillId="0" borderId="10" xfId="0" applyFont="1" applyFill="1" applyBorder="1" applyAlignment="1">
      <alignment horizontal="right"/>
    </xf>
    <xf numFmtId="0" fontId="0" fillId="0" borderId="6" xfId="0" applyFont="1" applyFill="1" applyBorder="1" applyAlignment="1">
      <alignment horizontal="center"/>
    </xf>
    <xf numFmtId="0" fontId="0" fillId="0" borderId="6" xfId="0" applyFont="1" applyFill="1" applyBorder="1" applyAlignment="1">
      <alignment shrinkToFit="1"/>
    </xf>
    <xf numFmtId="177" fontId="0" fillId="0" borderId="10" xfId="0" applyNumberFormat="1" applyFont="1" applyFill="1" applyBorder="1" applyAlignment="1">
      <alignment horizontal="right"/>
    </xf>
    <xf numFmtId="0" fontId="0" fillId="0" borderId="0" xfId="0" applyFont="1" applyFill="1" applyAlignment="1"/>
    <xf numFmtId="0" fontId="3" fillId="0" borderId="0" xfId="0" applyFont="1" applyFill="1" applyBorder="1" applyAlignment="1">
      <alignment shrinkToFit="1"/>
    </xf>
    <xf numFmtId="179" fontId="0" fillId="0" borderId="0" xfId="0" applyNumberFormat="1" applyFont="1" applyFill="1"/>
    <xf numFmtId="0" fontId="0" fillId="0" borderId="0" xfId="0" applyFont="1" applyFill="1" applyAlignment="1">
      <alignment horizontal="left"/>
    </xf>
    <xf numFmtId="0" fontId="0" fillId="2" borderId="10" xfId="0" applyFont="1" applyFill="1" applyBorder="1" applyAlignment="1">
      <alignment horizontal="left" vertical="center"/>
    </xf>
    <xf numFmtId="5" fontId="0" fillId="2" borderId="10" xfId="0" applyNumberFormat="1" applyFont="1" applyFill="1" applyBorder="1" applyAlignment="1">
      <alignment horizontal="right" vertical="center"/>
    </xf>
    <xf numFmtId="14" fontId="0" fillId="2" borderId="10" xfId="0" applyNumberFormat="1" applyFont="1" applyFill="1" applyBorder="1" applyAlignment="1">
      <alignment horizontal="center" vertical="center"/>
    </xf>
    <xf numFmtId="176" fontId="0" fillId="2" borderId="4" xfId="0" applyNumberFormat="1" applyFont="1" applyFill="1" applyBorder="1" applyAlignment="1">
      <alignment horizontal="right" vertical="center"/>
    </xf>
    <xf numFmtId="176" fontId="0" fillId="2" borderId="13" xfId="0" applyNumberFormat="1" applyFont="1" applyFill="1" applyBorder="1" applyAlignment="1">
      <alignment horizontal="right" vertical="center"/>
    </xf>
    <xf numFmtId="14" fontId="0" fillId="2" borderId="5" xfId="0" applyNumberFormat="1" applyFont="1" applyFill="1" applyBorder="1" applyAlignment="1">
      <alignment horizontal="center" vertical="center"/>
    </xf>
    <xf numFmtId="10" fontId="0" fillId="2" borderId="10" xfId="0" applyNumberFormat="1" applyFont="1" applyFill="1" applyBorder="1" applyAlignment="1">
      <alignment vertical="center"/>
    </xf>
    <xf numFmtId="178" fontId="0" fillId="2" borderId="4" xfId="0" applyNumberFormat="1" applyFont="1" applyFill="1" applyBorder="1" applyAlignment="1">
      <alignment horizontal="right" vertical="center"/>
    </xf>
    <xf numFmtId="0" fontId="0" fillId="0" borderId="9" xfId="0" applyFont="1" applyFill="1" applyBorder="1" applyAlignment="1">
      <alignment horizontal="center" vertical="center"/>
    </xf>
    <xf numFmtId="0" fontId="0" fillId="0" borderId="2" xfId="0" applyFont="1" applyFill="1" applyBorder="1" applyAlignment="1">
      <alignment horizontal="center" vertical="center"/>
    </xf>
    <xf numFmtId="0" fontId="0" fillId="0" borderId="16" xfId="0" applyFont="1" applyFill="1" applyBorder="1" applyAlignment="1">
      <alignment horizontal="center" vertical="center"/>
    </xf>
    <xf numFmtId="0" fontId="0" fillId="0" borderId="5" xfId="0" applyFont="1" applyFill="1" applyBorder="1" applyAlignment="1">
      <alignment horizontal="distributed" vertical="center" justifyLastLine="1"/>
    </xf>
    <xf numFmtId="176" fontId="0" fillId="2" borderId="5" xfId="0" applyNumberFormat="1" applyFont="1" applyFill="1" applyBorder="1" applyAlignment="1">
      <alignment vertical="center"/>
    </xf>
    <xf numFmtId="176" fontId="0" fillId="3" borderId="13" xfId="0" applyNumberFormat="1" applyFont="1" applyFill="1" applyBorder="1" applyAlignment="1">
      <alignment horizontal="right" vertical="center"/>
    </xf>
    <xf numFmtId="0" fontId="0" fillId="0" borderId="3" xfId="0" applyFont="1" applyFill="1" applyBorder="1" applyAlignment="1">
      <alignment horizontal="center" shrinkToFit="1"/>
    </xf>
    <xf numFmtId="0" fontId="0" fillId="0" borderId="20" xfId="0" applyFont="1" applyFill="1" applyBorder="1" applyAlignment="1">
      <alignment horizontal="center" vertical="top" shrinkToFit="1"/>
    </xf>
    <xf numFmtId="10" fontId="0" fillId="2" borderId="21" xfId="0" applyNumberFormat="1" applyFont="1" applyFill="1" applyBorder="1" applyAlignment="1">
      <alignment horizontal="right" vertical="center"/>
    </xf>
    <xf numFmtId="14" fontId="0" fillId="0" borderId="10" xfId="0" applyNumberFormat="1" applyFont="1" applyFill="1" applyBorder="1" applyAlignment="1">
      <alignment horizontal="center" vertical="center"/>
    </xf>
    <xf numFmtId="176" fontId="0" fillId="0" borderId="4" xfId="0" applyNumberFormat="1" applyFont="1" applyFill="1" applyBorder="1" applyAlignment="1">
      <alignment horizontal="right" vertical="center"/>
    </xf>
    <xf numFmtId="176" fontId="0" fillId="0" borderId="13" xfId="0" applyNumberFormat="1" applyFont="1" applyFill="1" applyBorder="1" applyAlignment="1">
      <alignment horizontal="right" vertical="center"/>
    </xf>
    <xf numFmtId="14" fontId="0" fillId="0" borderId="5" xfId="0" applyNumberFormat="1" applyFont="1" applyFill="1" applyBorder="1" applyAlignment="1">
      <alignment horizontal="center" vertical="center"/>
    </xf>
    <xf numFmtId="176" fontId="0" fillId="0" borderId="5" xfId="0" applyNumberFormat="1" applyFont="1" applyFill="1" applyBorder="1" applyAlignment="1">
      <alignment vertical="center"/>
    </xf>
    <xf numFmtId="10" fontId="0" fillId="0" borderId="10" xfId="0" applyNumberFormat="1" applyFont="1" applyFill="1" applyBorder="1" applyAlignment="1">
      <alignment vertical="center"/>
    </xf>
    <xf numFmtId="176" fontId="0" fillId="0" borderId="10" xfId="0" applyNumberFormat="1" applyFont="1" applyFill="1" applyBorder="1" applyAlignment="1">
      <alignment horizontal="right" vertical="center"/>
    </xf>
    <xf numFmtId="178" fontId="0" fillId="0" borderId="4" xfId="0" applyNumberFormat="1" applyFont="1" applyFill="1" applyBorder="1" applyAlignment="1">
      <alignment horizontal="right" vertical="center"/>
    </xf>
    <xf numFmtId="10" fontId="0" fillId="0" borderId="21" xfId="0" applyNumberFormat="1" applyFont="1" applyFill="1" applyBorder="1" applyAlignment="1">
      <alignment horizontal="right" vertical="center"/>
    </xf>
    <xf numFmtId="0" fontId="0" fillId="0" borderId="4" xfId="0" applyFont="1" applyFill="1" applyBorder="1" applyAlignment="1">
      <alignment horizontal="left" vertical="center"/>
    </xf>
    <xf numFmtId="0" fontId="0" fillId="0" borderId="5" xfId="0" applyFont="1" applyFill="1" applyBorder="1" applyAlignment="1">
      <alignment horizontal="left" vertical="center"/>
    </xf>
    <xf numFmtId="0" fontId="0" fillId="0" borderId="10" xfId="0" applyFont="1" applyFill="1" applyBorder="1" applyAlignment="1">
      <alignment horizontal="center" vertical="center"/>
    </xf>
    <xf numFmtId="0" fontId="0" fillId="0" borderId="5" xfId="0" applyNumberFormat="1" applyFont="1" applyFill="1" applyBorder="1" applyAlignment="1">
      <alignment horizontal="center" vertical="center"/>
    </xf>
    <xf numFmtId="176" fontId="0" fillId="0" borderId="17" xfId="0" applyNumberFormat="1" applyFont="1" applyFill="1" applyBorder="1" applyAlignment="1">
      <alignment horizontal="right" vertical="center"/>
    </xf>
    <xf numFmtId="176" fontId="0" fillId="0" borderId="14" xfId="0" applyNumberFormat="1" applyFont="1" applyFill="1" applyBorder="1" applyAlignment="1">
      <alignment horizontal="right" vertical="center"/>
    </xf>
    <xf numFmtId="176" fontId="0" fillId="0" borderId="10" xfId="0" applyNumberFormat="1" applyFont="1" applyFill="1" applyBorder="1" applyAlignment="1">
      <alignment vertical="center"/>
    </xf>
    <xf numFmtId="176" fontId="0" fillId="0" borderId="21" xfId="0" applyNumberFormat="1" applyFont="1" applyFill="1" applyBorder="1" applyAlignment="1">
      <alignment horizontal="right" vertical="center"/>
    </xf>
    <xf numFmtId="179" fontId="0" fillId="0" borderId="10" xfId="0" applyNumberFormat="1" applyFont="1" applyFill="1" applyBorder="1" applyAlignment="1">
      <alignment horizontal="right"/>
    </xf>
    <xf numFmtId="180" fontId="0" fillId="0" borderId="10" xfId="0" applyNumberFormat="1" applyFont="1" applyFill="1" applyBorder="1" applyAlignment="1">
      <alignment horizontal="right"/>
    </xf>
    <xf numFmtId="10" fontId="0" fillId="0" borderId="10" xfId="0" applyNumberFormat="1" applyFont="1" applyFill="1" applyBorder="1"/>
    <xf numFmtId="179" fontId="0" fillId="0" borderId="10" xfId="0" applyNumberFormat="1" applyFont="1" applyFill="1" applyBorder="1"/>
    <xf numFmtId="180" fontId="0" fillId="0" borderId="10" xfId="0" applyNumberFormat="1" applyFont="1" applyFill="1" applyBorder="1"/>
    <xf numFmtId="0" fontId="0" fillId="0" borderId="10" xfId="0" applyFont="1" applyFill="1" applyBorder="1" applyAlignment="1">
      <alignment horizontal="center"/>
    </xf>
    <xf numFmtId="10" fontId="0" fillId="0" borderId="10" xfId="0" applyNumberFormat="1" applyFont="1" applyFill="1" applyBorder="1" applyAlignment="1">
      <alignment horizontal="right"/>
    </xf>
    <xf numFmtId="0" fontId="0" fillId="0" borderId="4" xfId="0" applyFont="1" applyFill="1" applyBorder="1" applyAlignment="1">
      <alignment horizontal="left" vertical="center"/>
    </xf>
    <xf numFmtId="0" fontId="0" fillId="0" borderId="5" xfId="0" applyFont="1" applyFill="1" applyBorder="1" applyAlignment="1">
      <alignment horizontal="left" vertical="center"/>
    </xf>
    <xf numFmtId="57" fontId="0" fillId="0" borderId="0" xfId="0" applyNumberFormat="1" applyFont="1" applyFill="1" applyBorder="1"/>
    <xf numFmtId="0" fontId="0" fillId="0" borderId="0" xfId="0" applyFont="1" applyFill="1" applyBorder="1" applyAlignment="1">
      <alignment horizontal="left"/>
    </xf>
    <xf numFmtId="6" fontId="0" fillId="0" borderId="0" xfId="0" applyNumberFormat="1" applyFont="1" applyFill="1" applyBorder="1" applyAlignment="1">
      <alignment horizontal="left"/>
    </xf>
    <xf numFmtId="0" fontId="0" fillId="0" borderId="4" xfId="0" applyFont="1" applyFill="1" applyBorder="1" applyAlignment="1">
      <alignment horizontal="left" vertical="center"/>
    </xf>
    <xf numFmtId="0" fontId="0" fillId="0" borderId="5" xfId="0" applyFont="1" applyFill="1" applyBorder="1" applyAlignment="1">
      <alignment horizontal="left" vertical="center"/>
    </xf>
    <xf numFmtId="0" fontId="0" fillId="0" borderId="0" xfId="0" applyFont="1" applyFill="1" applyBorder="1" applyAlignment="1">
      <alignment horizontal="center"/>
    </xf>
    <xf numFmtId="0" fontId="0" fillId="0" borderId="0" xfId="0" applyFont="1" applyFill="1" applyBorder="1" applyAlignment="1">
      <alignment shrinkToFit="1"/>
    </xf>
    <xf numFmtId="0" fontId="0" fillId="0" borderId="0" xfId="0" applyFont="1" applyFill="1" applyBorder="1" applyAlignment="1">
      <alignment horizontal="center" shrinkToFit="1"/>
    </xf>
    <xf numFmtId="179" fontId="0" fillId="0" borderId="0" xfId="0" applyNumberFormat="1" applyFont="1" applyFill="1" applyBorder="1" applyAlignment="1">
      <alignment horizontal="right"/>
    </xf>
    <xf numFmtId="180" fontId="0" fillId="0" borderId="0" xfId="0" applyNumberFormat="1" applyFont="1" applyFill="1" applyBorder="1" applyAlignment="1">
      <alignment horizontal="right"/>
    </xf>
    <xf numFmtId="10" fontId="0" fillId="0" borderId="0" xfId="0" applyNumberFormat="1" applyFont="1" applyFill="1" applyBorder="1"/>
    <xf numFmtId="179" fontId="0" fillId="0" borderId="0" xfId="0" applyNumberFormat="1" applyFont="1" applyFill="1" applyBorder="1"/>
    <xf numFmtId="177" fontId="0" fillId="0" borderId="0" xfId="0" applyNumberFormat="1" applyFont="1" applyFill="1" applyBorder="1" applyAlignment="1">
      <alignment horizontal="right"/>
    </xf>
    <xf numFmtId="180" fontId="0" fillId="0" borderId="0" xfId="0" applyNumberFormat="1" applyFont="1" applyFill="1" applyBorder="1"/>
    <xf numFmtId="0" fontId="3" fillId="0" borderId="0" xfId="0" applyFont="1" applyFill="1" applyAlignment="1"/>
    <xf numFmtId="0" fontId="5" fillId="0" borderId="0" xfId="0" applyFont="1" applyFill="1" applyAlignment="1"/>
    <xf numFmtId="0" fontId="5" fillId="0" borderId="0" xfId="0" applyFont="1" applyFill="1"/>
    <xf numFmtId="0" fontId="3" fillId="0" borderId="0" xfId="0" applyFont="1" applyFill="1" applyAlignment="1">
      <alignment horizontal="right"/>
    </xf>
    <xf numFmtId="0" fontId="5" fillId="0" borderId="0" xfId="0" applyFont="1"/>
    <xf numFmtId="0" fontId="5" fillId="0" borderId="0" xfId="0" applyFont="1" applyAlignment="1">
      <alignment horizontal="right"/>
    </xf>
    <xf numFmtId="10" fontId="5" fillId="0" borderId="0" xfId="0" applyNumberFormat="1" applyFont="1" applyAlignment="1">
      <alignment horizontal="right"/>
    </xf>
    <xf numFmtId="10" fontId="5" fillId="0" borderId="0" xfId="0" applyNumberFormat="1" applyFont="1"/>
    <xf numFmtId="182" fontId="5" fillId="0" borderId="0" xfId="0" applyNumberFormat="1" applyFont="1" applyAlignment="1">
      <alignment horizontal="right"/>
    </xf>
    <xf numFmtId="182" fontId="5" fillId="0" borderId="0" xfId="0" applyNumberFormat="1" applyFont="1"/>
    <xf numFmtId="179" fontId="5" fillId="0" borderId="0" xfId="0" applyNumberFormat="1" applyFont="1"/>
    <xf numFmtId="183" fontId="5" fillId="0" borderId="0" xfId="0" applyNumberFormat="1" applyFont="1" applyAlignment="1">
      <alignment horizontal="right"/>
    </xf>
    <xf numFmtId="0" fontId="5" fillId="0" borderId="10" xfId="0" applyFont="1" applyBorder="1" applyAlignment="1">
      <alignment horizontal="right"/>
    </xf>
    <xf numFmtId="179" fontId="5" fillId="0" borderId="10" xfId="0" applyNumberFormat="1" applyFont="1" applyBorder="1" applyAlignment="1">
      <alignment horizontal="right"/>
    </xf>
    <xf numFmtId="10" fontId="5" fillId="0" borderId="10" xfId="0" applyNumberFormat="1" applyFont="1" applyBorder="1" applyAlignment="1">
      <alignment horizontal="right"/>
    </xf>
    <xf numFmtId="10" fontId="5" fillId="0" borderId="10" xfId="0" applyNumberFormat="1" applyFont="1" applyBorder="1"/>
    <xf numFmtId="179" fontId="5" fillId="0" borderId="10" xfId="0" applyNumberFormat="1" applyFont="1" applyBorder="1"/>
    <xf numFmtId="177" fontId="5" fillId="0" borderId="10" xfId="0" applyNumberFormat="1" applyFont="1" applyBorder="1"/>
    <xf numFmtId="184" fontId="5" fillId="0" borderId="10" xfId="0" applyNumberFormat="1" applyFont="1" applyBorder="1" applyAlignment="1">
      <alignment horizontal="right"/>
    </xf>
    <xf numFmtId="182" fontId="5" fillId="0" borderId="4" xfId="0" applyNumberFormat="1" applyFont="1" applyBorder="1"/>
    <xf numFmtId="0" fontId="5" fillId="0" borderId="5" xfId="0" applyFont="1" applyBorder="1" applyAlignment="1">
      <alignment horizontal="right"/>
    </xf>
    <xf numFmtId="0" fontId="5" fillId="0" borderId="22" xfId="0" applyFont="1" applyBorder="1" applyAlignment="1">
      <alignment horizontal="right"/>
    </xf>
    <xf numFmtId="182" fontId="5" fillId="0" borderId="23" xfId="0" applyNumberFormat="1" applyFont="1" applyBorder="1" applyAlignment="1">
      <alignment horizontal="right"/>
    </xf>
    <xf numFmtId="179" fontId="5" fillId="0" borderId="4" xfId="0" applyNumberFormat="1" applyFont="1" applyBorder="1"/>
    <xf numFmtId="182" fontId="5" fillId="0" borderId="4" xfId="0" applyNumberFormat="1" applyFont="1" applyBorder="1" applyAlignment="1">
      <alignment horizontal="right"/>
    </xf>
    <xf numFmtId="179" fontId="5" fillId="0" borderId="23" xfId="0" applyNumberFormat="1" applyFont="1" applyBorder="1" applyAlignment="1">
      <alignment horizontal="right"/>
    </xf>
    <xf numFmtId="0" fontId="0" fillId="0" borderId="0" xfId="0" applyFont="1" applyFill="1" applyBorder="1" applyAlignment="1">
      <alignment horizontal="center"/>
    </xf>
    <xf numFmtId="0" fontId="0" fillId="0" borderId="0" xfId="0" applyFont="1" applyFill="1" applyBorder="1" applyAlignment="1"/>
    <xf numFmtId="0" fontId="0" fillId="0" borderId="0" xfId="0" applyFont="1" applyFill="1" applyBorder="1" applyAlignment="1">
      <alignment horizontal="left" shrinkToFit="1"/>
    </xf>
    <xf numFmtId="14" fontId="3" fillId="0" borderId="10" xfId="0" applyNumberFormat="1" applyFont="1" applyFill="1" applyBorder="1" applyAlignment="1">
      <alignment horizontal="left" vertical="center"/>
    </xf>
    <xf numFmtId="14" fontId="0" fillId="0" borderId="0" xfId="0" applyNumberFormat="1" applyFont="1" applyFill="1"/>
    <xf numFmtId="178" fontId="0" fillId="0" borderId="21" xfId="0" applyNumberFormat="1" applyFont="1" applyFill="1" applyBorder="1" applyAlignment="1">
      <alignment horizontal="right" vertical="center"/>
    </xf>
    <xf numFmtId="3" fontId="0" fillId="0" borderId="0" xfId="0" applyNumberFormat="1" applyFont="1" applyFill="1" applyBorder="1" applyAlignment="1">
      <alignment horizontal="left"/>
    </xf>
    <xf numFmtId="0" fontId="0" fillId="0" borderId="10" xfId="0" applyBorder="1" applyAlignment="1">
      <alignment horizontal="right" vertical="center"/>
    </xf>
    <xf numFmtId="0" fontId="0" fillId="0" borderId="4" xfId="0" applyFont="1" applyFill="1" applyBorder="1" applyAlignment="1">
      <alignment horizontal="left" vertical="center"/>
    </xf>
    <xf numFmtId="0" fontId="0" fillId="0" borderId="5" xfId="0" applyFont="1" applyFill="1" applyBorder="1" applyAlignment="1">
      <alignment horizontal="left" vertical="center"/>
    </xf>
    <xf numFmtId="0" fontId="0" fillId="0" borderId="0" xfId="0" applyFont="1" applyFill="1" applyAlignment="1">
      <alignment horizontal="right"/>
    </xf>
    <xf numFmtId="0" fontId="0" fillId="0" borderId="10" xfId="0" applyFont="1" applyFill="1" applyBorder="1" applyAlignment="1">
      <alignment horizontal="center"/>
    </xf>
    <xf numFmtId="0" fontId="0" fillId="0" borderId="10" xfId="0" applyFont="1" applyFill="1" applyBorder="1"/>
    <xf numFmtId="0" fontId="0" fillId="0" borderId="10" xfId="0" applyNumberFormat="1" applyFont="1" applyFill="1" applyBorder="1" applyAlignment="1"/>
    <xf numFmtId="0" fontId="0" fillId="0" borderId="0" xfId="0" applyFont="1" applyFill="1" applyAlignment="1">
      <alignment horizontal="left" indent="1"/>
    </xf>
    <xf numFmtId="0" fontId="0" fillId="0" borderId="0" xfId="0" applyFont="1" applyFill="1" applyBorder="1" applyAlignment="1">
      <alignment horizontal="left" indent="1"/>
    </xf>
    <xf numFmtId="0" fontId="0" fillId="0" borderId="4" xfId="0" applyFont="1" applyFill="1" applyBorder="1" applyAlignment="1">
      <alignment horizontal="left" vertical="center"/>
    </xf>
    <xf numFmtId="0" fontId="0" fillId="0" borderId="5" xfId="0" applyFont="1" applyFill="1" applyBorder="1" applyAlignment="1">
      <alignment horizontal="left" vertical="center"/>
    </xf>
    <xf numFmtId="0" fontId="0" fillId="0" borderId="10" xfId="0" applyFont="1" applyFill="1" applyBorder="1" applyAlignment="1">
      <alignment horizontal="center"/>
    </xf>
    <xf numFmtId="0" fontId="0" fillId="0" borderId="10" xfId="0" applyFill="1" applyBorder="1" applyAlignment="1">
      <alignment horizontal="right" vertical="center"/>
    </xf>
    <xf numFmtId="176" fontId="0" fillId="0" borderId="9" xfId="0" applyNumberFormat="1" applyFont="1" applyFill="1" applyBorder="1"/>
    <xf numFmtId="0" fontId="0" fillId="0" borderId="4" xfId="0" applyFont="1" applyFill="1" applyBorder="1" applyAlignment="1">
      <alignment horizontal="left" vertical="center"/>
    </xf>
    <xf numFmtId="0" fontId="0" fillId="0" borderId="5" xfId="0" applyFont="1" applyFill="1" applyBorder="1" applyAlignment="1">
      <alignment horizontal="left" vertical="center"/>
    </xf>
    <xf numFmtId="0" fontId="0" fillId="3" borderId="10" xfId="0" applyFont="1" applyFill="1" applyBorder="1" applyAlignment="1">
      <alignment horizontal="left" vertical="center"/>
    </xf>
    <xf numFmtId="14" fontId="3" fillId="3" borderId="10" xfId="0" applyNumberFormat="1" applyFont="1" applyFill="1" applyBorder="1" applyAlignment="1">
      <alignment horizontal="left" vertical="center"/>
    </xf>
    <xf numFmtId="5" fontId="0" fillId="3" borderId="10" xfId="0" applyNumberFormat="1" applyFont="1" applyFill="1" applyBorder="1" applyAlignment="1">
      <alignment horizontal="right" vertical="center"/>
    </xf>
    <xf numFmtId="14" fontId="0" fillId="3" borderId="10" xfId="0" applyNumberFormat="1" applyFont="1" applyFill="1" applyBorder="1" applyAlignment="1">
      <alignment horizontal="center" vertical="center"/>
    </xf>
    <xf numFmtId="176" fontId="0" fillId="3" borderId="4" xfId="0" applyNumberFormat="1" applyFont="1" applyFill="1" applyBorder="1" applyAlignment="1">
      <alignment horizontal="right" vertical="center"/>
    </xf>
    <xf numFmtId="14" fontId="0" fillId="3" borderId="5" xfId="0" applyNumberFormat="1" applyFont="1" applyFill="1" applyBorder="1" applyAlignment="1">
      <alignment horizontal="center" vertical="center"/>
    </xf>
    <xf numFmtId="176" fontId="0" fillId="3" borderId="5" xfId="0" applyNumberFormat="1" applyFont="1" applyFill="1" applyBorder="1" applyAlignment="1">
      <alignment vertical="center"/>
    </xf>
    <xf numFmtId="10" fontId="0" fillId="3" borderId="10" xfId="0" applyNumberFormat="1" applyFont="1" applyFill="1" applyBorder="1" applyAlignment="1">
      <alignment vertical="center"/>
    </xf>
    <xf numFmtId="0" fontId="0" fillId="3" borderId="10" xfId="0" applyFill="1" applyBorder="1" applyAlignment="1">
      <alignment horizontal="right" vertical="center"/>
    </xf>
    <xf numFmtId="178" fontId="0" fillId="3" borderId="4" xfId="0" applyNumberFormat="1" applyFont="1" applyFill="1" applyBorder="1" applyAlignment="1">
      <alignment horizontal="right" vertical="center"/>
    </xf>
    <xf numFmtId="10" fontId="0" fillId="3" borderId="21" xfId="0" applyNumberFormat="1" applyFont="1" applyFill="1" applyBorder="1" applyAlignment="1">
      <alignment horizontal="right" vertical="center"/>
    </xf>
    <xf numFmtId="176" fontId="0" fillId="3" borderId="17" xfId="0" applyNumberFormat="1" applyFont="1" applyFill="1" applyBorder="1" applyAlignment="1">
      <alignment horizontal="right" vertical="center"/>
    </xf>
    <xf numFmtId="0" fontId="0" fillId="3" borderId="4" xfId="0" applyFont="1" applyFill="1" applyBorder="1" applyAlignment="1">
      <alignment horizontal="left" vertical="center"/>
    </xf>
    <xf numFmtId="0" fontId="0" fillId="3" borderId="5" xfId="0" applyFont="1" applyFill="1" applyBorder="1" applyAlignment="1">
      <alignment horizontal="left" vertical="center"/>
    </xf>
    <xf numFmtId="0" fontId="0" fillId="0" borderId="4" xfId="0" applyFont="1" applyFill="1" applyBorder="1" applyAlignment="1">
      <alignment horizontal="left" vertical="center"/>
    </xf>
    <xf numFmtId="0" fontId="0" fillId="0" borderId="5" xfId="0" applyFont="1" applyFill="1" applyBorder="1" applyAlignment="1">
      <alignment horizontal="left" vertical="center"/>
    </xf>
    <xf numFmtId="0" fontId="0" fillId="0" borderId="10" xfId="0" applyFont="1" applyFill="1" applyBorder="1" applyAlignment="1">
      <alignment horizontal="center"/>
    </xf>
    <xf numFmtId="0" fontId="0" fillId="2" borderId="4" xfId="0" applyFont="1" applyFill="1" applyBorder="1" applyAlignment="1">
      <alignment horizontal="left" vertical="center"/>
    </xf>
    <xf numFmtId="0" fontId="0" fillId="2" borderId="5" xfId="0" applyFont="1" applyFill="1" applyBorder="1" applyAlignment="1">
      <alignment horizontal="left" vertical="center"/>
    </xf>
    <xf numFmtId="0" fontId="0" fillId="3" borderId="4" xfId="0" applyFont="1" applyFill="1" applyBorder="1" applyAlignment="1">
      <alignment horizontal="left" vertical="center"/>
    </xf>
    <xf numFmtId="0" fontId="0" fillId="3" borderId="5" xfId="0" applyFont="1" applyFill="1" applyBorder="1" applyAlignment="1">
      <alignment horizontal="left" vertical="center"/>
    </xf>
    <xf numFmtId="0" fontId="0" fillId="2" borderId="4" xfId="0" applyFont="1" applyFill="1" applyBorder="1" applyAlignment="1">
      <alignment horizontal="left" vertical="center"/>
    </xf>
    <xf numFmtId="0" fontId="0" fillId="2" borderId="5" xfId="0" applyFont="1" applyFill="1" applyBorder="1" applyAlignment="1">
      <alignment horizontal="left" vertical="center"/>
    </xf>
    <xf numFmtId="0" fontId="0" fillId="0" borderId="4" xfId="0" applyFont="1" applyFill="1" applyBorder="1" applyAlignment="1">
      <alignment horizontal="left" vertical="center"/>
    </xf>
    <xf numFmtId="0" fontId="0" fillId="0" borderId="5" xfId="0" applyFont="1" applyFill="1" applyBorder="1" applyAlignment="1">
      <alignment horizontal="left" vertical="center"/>
    </xf>
    <xf numFmtId="0" fontId="0" fillId="3" borderId="4" xfId="0" applyFont="1" applyFill="1" applyBorder="1" applyAlignment="1">
      <alignment horizontal="left" vertical="center"/>
    </xf>
    <xf numFmtId="0" fontId="0" fillId="3" borderId="5" xfId="0" applyFont="1" applyFill="1" applyBorder="1" applyAlignment="1">
      <alignment horizontal="left" vertical="center"/>
    </xf>
    <xf numFmtId="0" fontId="0" fillId="0" borderId="0" xfId="0" applyFont="1" applyFill="1" applyBorder="1" applyAlignment="1">
      <alignment horizontal="center" vertical="center"/>
    </xf>
    <xf numFmtId="0" fontId="0" fillId="0" borderId="0" xfId="0" applyFont="1" applyFill="1" applyBorder="1" applyAlignment="1">
      <alignment horizontal="distributed" vertical="center" justifyLastLine="1"/>
    </xf>
    <xf numFmtId="14" fontId="3" fillId="2" borderId="10" xfId="0" applyNumberFormat="1" applyFont="1" applyFill="1" applyBorder="1" applyAlignment="1">
      <alignment horizontal="left" vertical="center"/>
    </xf>
    <xf numFmtId="176" fontId="0" fillId="2" borderId="17" xfId="0" applyNumberFormat="1" applyFont="1" applyFill="1" applyBorder="1" applyAlignment="1">
      <alignment horizontal="right" vertical="center"/>
    </xf>
    <xf numFmtId="6" fontId="0" fillId="0" borderId="9" xfId="0" applyNumberFormat="1" applyFont="1" applyFill="1" applyBorder="1"/>
    <xf numFmtId="10" fontId="0" fillId="2" borderId="10" xfId="0" applyNumberFormat="1" applyFont="1" applyFill="1" applyBorder="1" applyAlignment="1">
      <alignment horizontal="right" vertical="center"/>
    </xf>
    <xf numFmtId="0" fontId="7" fillId="2" borderId="10" xfId="0" applyFont="1" applyFill="1" applyBorder="1" applyAlignment="1">
      <alignment horizontal="right" vertical="center"/>
    </xf>
    <xf numFmtId="0" fontId="0" fillId="3" borderId="0" xfId="0" applyFont="1" applyFill="1"/>
    <xf numFmtId="0" fontId="0" fillId="2" borderId="0" xfId="0" applyFont="1" applyFill="1"/>
    <xf numFmtId="6" fontId="0" fillId="0" borderId="10" xfId="0" applyNumberFormat="1" applyFont="1" applyFill="1" applyBorder="1"/>
    <xf numFmtId="176" fontId="0" fillId="0" borderId="10" xfId="0" applyNumberFormat="1" applyFont="1" applyFill="1" applyBorder="1"/>
    <xf numFmtId="0" fontId="5" fillId="0" borderId="0" xfId="0" applyFont="1" applyFill="1" applyBorder="1" applyAlignment="1"/>
    <xf numFmtId="0" fontId="5" fillId="0" borderId="0" xfId="0" applyFont="1" applyFill="1" applyBorder="1"/>
    <xf numFmtId="0" fontId="3" fillId="0" borderId="0" xfId="0" applyFont="1" applyFill="1" applyBorder="1" applyAlignment="1">
      <alignment horizontal="right"/>
    </xf>
    <xf numFmtId="0" fontId="3" fillId="0" borderId="0" xfId="0" applyFont="1" applyFill="1" applyBorder="1" applyAlignment="1"/>
    <xf numFmtId="0" fontId="0" fillId="3" borderId="0" xfId="0" applyFont="1" applyFill="1" applyBorder="1" applyAlignment="1">
      <alignment horizontal="center" shrinkToFit="1"/>
    </xf>
    <xf numFmtId="10" fontId="0" fillId="0" borderId="0" xfId="0" applyNumberFormat="1" applyFont="1" applyFill="1" applyBorder="1" applyAlignment="1">
      <alignment horizontal="right"/>
    </xf>
    <xf numFmtId="0" fontId="0" fillId="0" borderId="0" xfId="0" applyNumberFormat="1" applyFont="1" applyFill="1" applyBorder="1" applyAlignment="1"/>
    <xf numFmtId="176" fontId="0" fillId="0" borderId="1" xfId="0" applyNumberFormat="1" applyFont="1" applyFill="1" applyBorder="1" applyAlignment="1">
      <alignment horizontal="right" vertical="center"/>
    </xf>
    <xf numFmtId="176" fontId="0" fillId="0" borderId="2" xfId="0" applyNumberFormat="1" applyFont="1" applyFill="1" applyBorder="1" applyAlignment="1">
      <alignment vertical="center"/>
    </xf>
    <xf numFmtId="176" fontId="0" fillId="0" borderId="25" xfId="0" applyNumberFormat="1" applyFont="1" applyFill="1" applyBorder="1"/>
    <xf numFmtId="176" fontId="0" fillId="0" borderId="26" xfId="0" applyNumberFormat="1" applyFont="1" applyFill="1" applyBorder="1"/>
    <xf numFmtId="0" fontId="0" fillId="0" borderId="6" xfId="0" applyFont="1" applyFill="1" applyBorder="1" applyAlignment="1">
      <alignment horizontal="left" vertical="center"/>
    </xf>
    <xf numFmtId="14" fontId="3" fillId="0" borderId="6" xfId="0" applyNumberFormat="1" applyFont="1" applyFill="1" applyBorder="1" applyAlignment="1">
      <alignment horizontal="left" vertical="center"/>
    </xf>
    <xf numFmtId="5" fontId="0" fillId="0" borderId="6" xfId="0" applyNumberFormat="1" applyFont="1" applyFill="1" applyBorder="1" applyAlignment="1">
      <alignment horizontal="right" vertical="center"/>
    </xf>
    <xf numFmtId="14" fontId="0" fillId="0" borderId="6" xfId="0" applyNumberFormat="1" applyFont="1" applyFill="1" applyBorder="1" applyAlignment="1">
      <alignment horizontal="center" vertical="center"/>
    </xf>
    <xf numFmtId="14" fontId="0" fillId="0" borderId="2" xfId="0" applyNumberFormat="1" applyFont="1" applyFill="1" applyBorder="1" applyAlignment="1">
      <alignment horizontal="center" vertical="center"/>
    </xf>
    <xf numFmtId="10" fontId="0" fillId="0" borderId="6" xfId="0" applyNumberFormat="1" applyFont="1" applyFill="1" applyBorder="1" applyAlignment="1">
      <alignment vertical="center"/>
    </xf>
    <xf numFmtId="0" fontId="0" fillId="0" borderId="6" xfId="0" applyFill="1" applyBorder="1" applyAlignment="1">
      <alignment horizontal="right" vertical="center"/>
    </xf>
    <xf numFmtId="178" fontId="0" fillId="0" borderId="1" xfId="0" applyNumberFormat="1" applyFont="1" applyFill="1" applyBorder="1" applyAlignment="1">
      <alignment horizontal="right" vertical="center"/>
    </xf>
    <xf numFmtId="10" fontId="0" fillId="0" borderId="3" xfId="0" applyNumberFormat="1" applyFont="1" applyFill="1" applyBorder="1" applyAlignment="1">
      <alignment horizontal="right" vertical="center"/>
    </xf>
    <xf numFmtId="0" fontId="0" fillId="0" borderId="1" xfId="0" applyFont="1" applyFill="1" applyBorder="1" applyAlignment="1">
      <alignment horizontal="left" vertical="center"/>
    </xf>
    <xf numFmtId="0" fontId="0" fillId="0" borderId="2" xfId="0" applyFont="1" applyFill="1" applyBorder="1" applyAlignment="1">
      <alignment horizontal="left" vertical="center"/>
    </xf>
    <xf numFmtId="176" fontId="0" fillId="0" borderId="8" xfId="0" applyNumberFormat="1" applyFont="1" applyFill="1" applyBorder="1" applyAlignment="1">
      <alignment horizontal="right" vertical="center"/>
    </xf>
    <xf numFmtId="176" fontId="0" fillId="0" borderId="11" xfId="0" applyNumberFormat="1" applyFont="1" applyFill="1" applyBorder="1"/>
    <xf numFmtId="0" fontId="0" fillId="0" borderId="11" xfId="0" applyFont="1" applyFill="1" applyBorder="1"/>
    <xf numFmtId="176" fontId="0" fillId="0" borderId="11" xfId="0" applyNumberFormat="1" applyFont="1" applyFill="1" applyBorder="1" applyAlignment="1">
      <alignment horizontal="right" vertical="center"/>
    </xf>
    <xf numFmtId="6" fontId="0" fillId="0" borderId="11" xfId="0" applyNumberFormat="1" applyFont="1" applyFill="1" applyBorder="1"/>
    <xf numFmtId="0" fontId="0" fillId="0" borderId="25" xfId="0" applyFont="1" applyFill="1" applyBorder="1" applyAlignment="1">
      <alignment vertical="center"/>
    </xf>
    <xf numFmtId="14" fontId="3" fillId="0" borderId="27" xfId="0" applyNumberFormat="1" applyFont="1" applyFill="1" applyBorder="1" applyAlignment="1">
      <alignment horizontal="left" vertical="center"/>
    </xf>
    <xf numFmtId="0" fontId="0" fillId="0" borderId="27" xfId="0" applyFont="1" applyFill="1" applyBorder="1" applyAlignment="1">
      <alignment horizontal="left" vertical="center"/>
    </xf>
    <xf numFmtId="0" fontId="0" fillId="0" borderId="27" xfId="0" applyFont="1" applyFill="1" applyBorder="1" applyAlignment="1">
      <alignment horizontal="center" vertical="center"/>
    </xf>
    <xf numFmtId="176" fontId="0" fillId="0" borderId="28" xfId="0" applyNumberFormat="1" applyFont="1" applyFill="1" applyBorder="1" applyAlignment="1">
      <alignment horizontal="right" vertical="center"/>
    </xf>
    <xf numFmtId="176" fontId="0" fillId="0" borderId="24" xfId="0" applyNumberFormat="1" applyFont="1" applyFill="1" applyBorder="1" applyAlignment="1">
      <alignment horizontal="right" vertical="center"/>
    </xf>
    <xf numFmtId="0" fontId="0" fillId="0" borderId="29" xfId="0" applyNumberFormat="1" applyFont="1" applyFill="1" applyBorder="1" applyAlignment="1">
      <alignment horizontal="center" vertical="center"/>
    </xf>
    <xf numFmtId="176" fontId="0" fillId="0" borderId="29" xfId="0" applyNumberFormat="1" applyFont="1" applyFill="1" applyBorder="1" applyAlignment="1">
      <alignment vertical="center"/>
    </xf>
    <xf numFmtId="176" fontId="0" fillId="0" borderId="27" xfId="0" applyNumberFormat="1" applyFont="1" applyFill="1" applyBorder="1" applyAlignment="1">
      <alignment vertical="center"/>
    </xf>
    <xf numFmtId="176" fontId="0" fillId="0" borderId="27" xfId="0" applyNumberFormat="1" applyFont="1" applyFill="1" applyBorder="1" applyAlignment="1">
      <alignment horizontal="right" vertical="center"/>
    </xf>
    <xf numFmtId="176" fontId="0" fillId="0" borderId="30" xfId="0" applyNumberFormat="1" applyFont="1" applyFill="1" applyBorder="1" applyAlignment="1">
      <alignment horizontal="right" vertical="center"/>
    </xf>
    <xf numFmtId="0" fontId="0" fillId="0" borderId="30" xfId="0" applyFont="1" applyFill="1" applyBorder="1"/>
    <xf numFmtId="0" fontId="0" fillId="0" borderId="27" xfId="0" applyFont="1" applyFill="1" applyBorder="1" applyAlignment="1">
      <alignment vertical="center"/>
    </xf>
    <xf numFmtId="176" fontId="0" fillId="0" borderId="34" xfId="0" applyNumberFormat="1" applyFont="1" applyFill="1" applyBorder="1"/>
    <xf numFmtId="176" fontId="0" fillId="0" borderId="35" xfId="0" applyNumberFormat="1" applyFont="1" applyFill="1" applyBorder="1"/>
    <xf numFmtId="176" fontId="0" fillId="0" borderId="36" xfId="0" applyNumberFormat="1" applyFont="1" applyFill="1" applyBorder="1"/>
    <xf numFmtId="176" fontId="0" fillId="0" borderId="37" xfId="0" applyNumberFormat="1" applyFont="1" applyFill="1" applyBorder="1"/>
    <xf numFmtId="176" fontId="0" fillId="0" borderId="38" xfId="0" applyNumberFormat="1" applyFont="1" applyFill="1" applyBorder="1"/>
    <xf numFmtId="176" fontId="0" fillId="0" borderId="39" xfId="0" applyNumberFormat="1" applyFont="1" applyFill="1" applyBorder="1"/>
    <xf numFmtId="176" fontId="0" fillId="0" borderId="40" xfId="0" applyNumberFormat="1" applyFont="1" applyFill="1" applyBorder="1"/>
    <xf numFmtId="176" fontId="0" fillId="0" borderId="41" xfId="0" applyNumberFormat="1" applyFont="1" applyFill="1" applyBorder="1"/>
    <xf numFmtId="0" fontId="0" fillId="2" borderId="0" xfId="0" applyFont="1" applyFill="1" applyBorder="1" applyAlignment="1"/>
    <xf numFmtId="176" fontId="0" fillId="0" borderId="13" xfId="0" applyNumberFormat="1" applyFont="1" applyFill="1" applyBorder="1"/>
    <xf numFmtId="176" fontId="0" fillId="0" borderId="12" xfId="0" applyNumberFormat="1" applyFont="1" applyFill="1" applyBorder="1"/>
    <xf numFmtId="176" fontId="0" fillId="0" borderId="46" xfId="0" applyNumberFormat="1" applyFont="1" applyFill="1" applyBorder="1"/>
    <xf numFmtId="176" fontId="0" fillId="0" borderId="17" xfId="0" applyNumberFormat="1" applyFont="1" applyFill="1" applyBorder="1"/>
    <xf numFmtId="176" fontId="0" fillId="0" borderId="24" xfId="0" applyNumberFormat="1" applyFont="1" applyFill="1" applyBorder="1"/>
    <xf numFmtId="0" fontId="0" fillId="0" borderId="0" xfId="0" applyNumberFormat="1" applyFont="1" applyFill="1"/>
    <xf numFmtId="0" fontId="5" fillId="3" borderId="10" xfId="0" applyFont="1" applyFill="1" applyBorder="1" applyAlignment="1">
      <alignment horizontal="right"/>
    </xf>
    <xf numFmtId="179" fontId="5" fillId="3" borderId="10" xfId="0" applyNumberFormat="1" applyFont="1" applyFill="1" applyBorder="1" applyAlignment="1">
      <alignment horizontal="right"/>
    </xf>
    <xf numFmtId="10" fontId="5" fillId="3" borderId="10" xfId="0" applyNumberFormat="1" applyFont="1" applyFill="1" applyBorder="1" applyAlignment="1">
      <alignment horizontal="right"/>
    </xf>
    <xf numFmtId="182" fontId="5" fillId="3" borderId="4" xfId="0" applyNumberFormat="1" applyFont="1" applyFill="1" applyBorder="1"/>
    <xf numFmtId="0" fontId="5" fillId="3" borderId="22" xfId="0" applyFont="1" applyFill="1" applyBorder="1" applyAlignment="1">
      <alignment horizontal="right"/>
    </xf>
    <xf numFmtId="182" fontId="5" fillId="3" borderId="23" xfId="0" applyNumberFormat="1" applyFont="1" applyFill="1" applyBorder="1" applyAlignment="1">
      <alignment horizontal="right"/>
    </xf>
    <xf numFmtId="0" fontId="5" fillId="3" borderId="5" xfId="0" applyFont="1" applyFill="1" applyBorder="1" applyAlignment="1">
      <alignment horizontal="right"/>
    </xf>
    <xf numFmtId="10" fontId="5" fillId="3" borderId="10" xfId="0" applyNumberFormat="1" applyFont="1" applyFill="1" applyBorder="1"/>
    <xf numFmtId="179" fontId="5" fillId="3" borderId="4" xfId="0" applyNumberFormat="1" applyFont="1" applyFill="1" applyBorder="1"/>
    <xf numFmtId="179" fontId="5" fillId="3" borderId="10" xfId="0" applyNumberFormat="1" applyFont="1" applyFill="1" applyBorder="1"/>
    <xf numFmtId="181" fontId="0" fillId="0" borderId="20" xfId="0" applyNumberFormat="1" applyFont="1" applyFill="1" applyBorder="1" applyAlignment="1">
      <alignment horizontal="center"/>
    </xf>
    <xf numFmtId="0" fontId="3" fillId="0" borderId="7" xfId="0" applyFont="1" applyFill="1" applyBorder="1" applyAlignment="1">
      <alignment horizontal="center" vertical="center" wrapText="1" shrinkToFit="1"/>
    </xf>
    <xf numFmtId="0" fontId="3" fillId="0" borderId="12" xfId="0" applyFont="1" applyFill="1" applyBorder="1" applyAlignment="1">
      <alignment horizontal="center" vertical="center" shrinkToFit="1"/>
    </xf>
    <xf numFmtId="0" fontId="0" fillId="0" borderId="1" xfId="0" applyFont="1" applyFill="1" applyBorder="1" applyAlignment="1">
      <alignment horizontal="center" vertical="center"/>
    </xf>
    <xf numFmtId="0" fontId="0" fillId="0" borderId="2" xfId="0" applyFont="1" applyFill="1" applyBorder="1" applyAlignment="1">
      <alignment horizontal="center" vertical="center"/>
    </xf>
    <xf numFmtId="0" fontId="0" fillId="0" borderId="8" xfId="0" applyFont="1" applyFill="1" applyBorder="1" applyAlignment="1">
      <alignment horizontal="center" vertical="center"/>
    </xf>
    <xf numFmtId="0" fontId="0" fillId="0" borderId="9" xfId="0" applyFont="1" applyFill="1" applyBorder="1" applyAlignment="1">
      <alignment horizontal="center" vertical="center"/>
    </xf>
    <xf numFmtId="0" fontId="0" fillId="0" borderId="4" xfId="0" applyFont="1" applyFill="1" applyBorder="1" applyAlignment="1">
      <alignment horizontal="left" vertical="center"/>
    </xf>
    <xf numFmtId="0" fontId="0" fillId="0" borderId="5" xfId="0" applyFont="1" applyFill="1" applyBorder="1" applyAlignment="1">
      <alignment horizontal="left" vertical="center"/>
    </xf>
    <xf numFmtId="0" fontId="6" fillId="0" borderId="2" xfId="0" applyFont="1" applyFill="1" applyBorder="1" applyAlignment="1">
      <alignment horizontal="center" vertical="center" wrapText="1"/>
    </xf>
    <xf numFmtId="0" fontId="6" fillId="0" borderId="9" xfId="0" applyFont="1" applyFill="1" applyBorder="1" applyAlignment="1">
      <alignment horizontal="center" vertical="center"/>
    </xf>
    <xf numFmtId="0" fontId="0" fillId="0" borderId="15" xfId="0" applyFont="1" applyFill="1" applyBorder="1" applyAlignment="1">
      <alignment horizontal="center" vertical="center"/>
    </xf>
    <xf numFmtId="0" fontId="0" fillId="0" borderId="16" xfId="0" applyFont="1" applyFill="1" applyBorder="1" applyAlignment="1">
      <alignment horizontal="center" vertical="center"/>
    </xf>
    <xf numFmtId="0" fontId="0" fillId="0" borderId="4" xfId="0" applyFont="1" applyFill="1" applyBorder="1" applyAlignment="1">
      <alignment horizontal="distributed" vertical="center" justifyLastLine="1"/>
    </xf>
    <xf numFmtId="0" fontId="0" fillId="0" borderId="5" xfId="0" applyFont="1" applyFill="1" applyBorder="1" applyAlignment="1">
      <alignment horizontal="distributed" vertical="center" justifyLastLine="1"/>
    </xf>
    <xf numFmtId="0" fontId="0" fillId="0" borderId="18" xfId="0" applyFont="1" applyFill="1" applyBorder="1" applyAlignment="1">
      <alignment horizontal="center"/>
    </xf>
    <xf numFmtId="0" fontId="0" fillId="0" borderId="19" xfId="0" applyFont="1" applyFill="1" applyBorder="1" applyAlignment="1">
      <alignment horizontal="center"/>
    </xf>
    <xf numFmtId="0" fontId="0" fillId="0" borderId="10" xfId="0" applyFont="1" applyFill="1" applyBorder="1" applyAlignment="1">
      <alignment horizontal="center"/>
    </xf>
    <xf numFmtId="0" fontId="0" fillId="0" borderId="0" xfId="0" applyFont="1" applyFill="1" applyBorder="1" applyAlignment="1">
      <alignment horizontal="center" vertical="center"/>
    </xf>
    <xf numFmtId="0" fontId="0" fillId="3" borderId="4" xfId="0" applyFont="1" applyFill="1" applyBorder="1" applyAlignment="1">
      <alignment horizontal="left" vertical="center"/>
    </xf>
    <xf numFmtId="0" fontId="0" fillId="3" borderId="5" xfId="0" applyFont="1" applyFill="1" applyBorder="1" applyAlignment="1">
      <alignment horizontal="left" vertical="center"/>
    </xf>
    <xf numFmtId="0" fontId="0" fillId="0" borderId="0" xfId="0" applyFont="1" applyFill="1" applyBorder="1" applyAlignment="1">
      <alignment horizontal="distributed" vertical="center" justifyLastLine="1"/>
    </xf>
    <xf numFmtId="0" fontId="3" fillId="0" borderId="32" xfId="0" applyFont="1" applyFill="1" applyBorder="1" applyAlignment="1">
      <alignment horizontal="center" vertical="center" wrapText="1"/>
    </xf>
    <xf numFmtId="0" fontId="3" fillId="0" borderId="42" xfId="0" applyFont="1" applyFill="1" applyBorder="1" applyAlignment="1">
      <alignment horizontal="center" vertical="center" wrapText="1"/>
    </xf>
    <xf numFmtId="0" fontId="3" fillId="0" borderId="33" xfId="0" applyFont="1" applyFill="1" applyBorder="1" applyAlignment="1">
      <alignment horizontal="center" vertical="center" wrapText="1"/>
    </xf>
    <xf numFmtId="0" fontId="3" fillId="0" borderId="43" xfId="0" applyFont="1" applyFill="1" applyBorder="1" applyAlignment="1">
      <alignment horizontal="center" vertical="center" wrapText="1"/>
    </xf>
    <xf numFmtId="0" fontId="3" fillId="0" borderId="45" xfId="0" applyFont="1" applyFill="1" applyBorder="1" applyAlignment="1">
      <alignment horizontal="center" vertical="center" wrapText="1"/>
    </xf>
    <xf numFmtId="0" fontId="3" fillId="0" borderId="14" xfId="0" applyFont="1" applyFill="1" applyBorder="1" applyAlignment="1">
      <alignment horizontal="center" vertical="center" wrapText="1"/>
    </xf>
    <xf numFmtId="0" fontId="0" fillId="0" borderId="44" xfId="0" applyFont="1" applyFill="1" applyBorder="1" applyAlignment="1">
      <alignment horizontal="center" vertical="center"/>
    </xf>
    <xf numFmtId="0" fontId="0" fillId="0" borderId="30" xfId="0" applyFont="1" applyFill="1" applyBorder="1" applyAlignment="1">
      <alignment horizontal="center" vertical="center"/>
    </xf>
    <xf numFmtId="0" fontId="0" fillId="0" borderId="31" xfId="0" applyFont="1" applyFill="1" applyBorder="1" applyAlignment="1">
      <alignment horizontal="center" vertical="center"/>
    </xf>
    <xf numFmtId="0" fontId="0" fillId="0" borderId="28" xfId="0" applyFont="1" applyFill="1" applyBorder="1" applyAlignment="1">
      <alignment horizontal="left" vertical="center"/>
    </xf>
    <xf numFmtId="0" fontId="0" fillId="0" borderId="31" xfId="0" applyFont="1" applyFill="1" applyBorder="1" applyAlignment="1">
      <alignment horizontal="left" vertical="center"/>
    </xf>
    <xf numFmtId="0" fontId="0" fillId="0" borderId="0" xfId="0" applyFont="1" applyFill="1" applyBorder="1" applyAlignment="1">
      <alignment horizontal="center"/>
    </xf>
    <xf numFmtId="0" fontId="0" fillId="0" borderId="29" xfId="0" applyFont="1" applyFill="1" applyBorder="1" applyAlignment="1">
      <alignment horizontal="lef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59"/>
  <sheetViews>
    <sheetView topLeftCell="A13" workbookViewId="0">
      <pane xSplit="1" topLeftCell="B1" activePane="topRight" state="frozen"/>
      <selection pane="topRight" activeCell="G42" sqref="G42"/>
    </sheetView>
  </sheetViews>
  <sheetFormatPr defaultRowHeight="13.5"/>
  <cols>
    <col min="1" max="1" width="10" style="3" customWidth="1"/>
    <col min="2" max="2" width="13.125" style="3" customWidth="1"/>
    <col min="3" max="3" width="9.75" style="3" hidden="1" customWidth="1"/>
    <col min="4" max="4" width="15" style="3" customWidth="1"/>
    <col min="5" max="6" width="10" style="3" customWidth="1"/>
    <col min="7" max="7" width="15" style="3" customWidth="1"/>
    <col min="8" max="8" width="13.125" style="3" customWidth="1"/>
    <col min="9" max="9" width="11.375" style="3" customWidth="1"/>
    <col min="10" max="11" width="10.375" style="3" customWidth="1"/>
    <col min="12" max="17" width="11.875" style="3" customWidth="1"/>
    <col min="18" max="19" width="10.625" style="3" customWidth="1"/>
    <col min="20" max="16384" width="9" style="3"/>
  </cols>
  <sheetData>
    <row r="1" spans="1:20" ht="20.25" customHeight="1">
      <c r="A1" s="2" t="s">
        <v>99</v>
      </c>
      <c r="G1" s="3" t="s">
        <v>572</v>
      </c>
    </row>
    <row r="2" spans="1:20" ht="20.25" customHeight="1" thickBot="1">
      <c r="L2" s="121">
        <v>42460</v>
      </c>
      <c r="R2" s="243">
        <f ca="1">TODAY()</f>
        <v>42730</v>
      </c>
      <c r="S2" s="243"/>
    </row>
    <row r="3" spans="1:20" ht="24" customHeight="1">
      <c r="A3" s="246" t="s">
        <v>0</v>
      </c>
      <c r="B3" s="252" t="s">
        <v>566</v>
      </c>
      <c r="C3" s="4" t="s">
        <v>1</v>
      </c>
      <c r="D3" s="5" t="s">
        <v>2</v>
      </c>
      <c r="E3" s="6" t="s">
        <v>3</v>
      </c>
      <c r="F3" s="7" t="s">
        <v>4</v>
      </c>
      <c r="G3" s="8" t="s">
        <v>2</v>
      </c>
      <c r="H3" s="6" t="s">
        <v>5</v>
      </c>
      <c r="I3" s="244" t="s">
        <v>100</v>
      </c>
      <c r="J3" s="8" t="s">
        <v>101</v>
      </c>
      <c r="K3" s="5" t="s">
        <v>101</v>
      </c>
      <c r="L3" s="5" t="s">
        <v>102</v>
      </c>
      <c r="M3" s="6" t="s">
        <v>59</v>
      </c>
      <c r="N3" s="6" t="s">
        <v>57</v>
      </c>
      <c r="O3" s="7" t="s">
        <v>57</v>
      </c>
      <c r="P3" s="48" t="s">
        <v>57</v>
      </c>
      <c r="Q3" s="6" t="s">
        <v>57</v>
      </c>
      <c r="R3" s="246" t="s">
        <v>7</v>
      </c>
      <c r="S3" s="247"/>
      <c r="T3" s="9"/>
    </row>
    <row r="4" spans="1:20" ht="24" customHeight="1">
      <c r="A4" s="248"/>
      <c r="B4" s="253"/>
      <c r="C4" s="10" t="s">
        <v>8</v>
      </c>
      <c r="D4" s="11" t="s">
        <v>9</v>
      </c>
      <c r="E4" s="12" t="s">
        <v>10</v>
      </c>
      <c r="F4" s="13" t="s">
        <v>11</v>
      </c>
      <c r="G4" s="14" t="s">
        <v>12</v>
      </c>
      <c r="H4" s="12" t="s">
        <v>13</v>
      </c>
      <c r="I4" s="245"/>
      <c r="J4" s="14" t="s">
        <v>14</v>
      </c>
      <c r="K4" s="11" t="s">
        <v>6</v>
      </c>
      <c r="L4" s="11" t="s">
        <v>13</v>
      </c>
      <c r="M4" s="12" t="s">
        <v>60</v>
      </c>
      <c r="N4" s="12" t="s">
        <v>13</v>
      </c>
      <c r="O4" s="13" t="s">
        <v>58</v>
      </c>
      <c r="P4" s="49" t="s">
        <v>6</v>
      </c>
      <c r="Q4" s="12" t="s">
        <v>61</v>
      </c>
      <c r="R4" s="248"/>
      <c r="S4" s="249"/>
      <c r="T4" s="9"/>
    </row>
    <row r="5" spans="1:20" ht="24" customHeight="1">
      <c r="A5" s="15" t="s">
        <v>91</v>
      </c>
      <c r="B5" s="120">
        <v>41061</v>
      </c>
      <c r="C5" s="16">
        <v>1400</v>
      </c>
      <c r="D5" s="51">
        <v>41091</v>
      </c>
      <c r="E5" s="52">
        <v>25200</v>
      </c>
      <c r="F5" s="53">
        <v>24070</v>
      </c>
      <c r="G5" s="54">
        <v>41639</v>
      </c>
      <c r="H5" s="52" t="s">
        <v>15</v>
      </c>
      <c r="I5" s="53">
        <v>63000</v>
      </c>
      <c r="J5" s="55">
        <f>I5*K5</f>
        <v>61922.7</v>
      </c>
      <c r="K5" s="56">
        <v>0.9829</v>
      </c>
      <c r="L5" s="124" t="str">
        <f>DATEDIF(B5,$L$2,"y")&amp;"年"&amp;DATEDIF(B5,$L$2,"ym")&amp;"ヶ月"</f>
        <v>3年9ヶ月</v>
      </c>
      <c r="M5" s="58"/>
      <c r="N5" s="58"/>
      <c r="O5" s="53"/>
      <c r="P5" s="59">
        <v>1.0064</v>
      </c>
      <c r="Q5" s="52">
        <f>O5*P5-F5</f>
        <v>-24070</v>
      </c>
      <c r="R5" s="250" t="s">
        <v>17</v>
      </c>
      <c r="S5" s="251"/>
    </row>
    <row r="6" spans="1:20" ht="24" customHeight="1">
      <c r="A6" s="15" t="s">
        <v>112</v>
      </c>
      <c r="B6" s="120">
        <v>41760</v>
      </c>
      <c r="C6" s="16">
        <v>1400</v>
      </c>
      <c r="D6" s="51" t="s">
        <v>28</v>
      </c>
      <c r="E6" s="52" t="s">
        <v>28</v>
      </c>
      <c r="F6" s="53" t="s">
        <v>28</v>
      </c>
      <c r="G6" s="54" t="s">
        <v>28</v>
      </c>
      <c r="H6" s="52" t="s">
        <v>28</v>
      </c>
      <c r="I6" s="53">
        <v>30800</v>
      </c>
      <c r="J6" s="55">
        <f t="shared" ref="J6:J24" si="0">I6*K6</f>
        <v>29666.559999999998</v>
      </c>
      <c r="K6" s="56">
        <v>0.96319999999999995</v>
      </c>
      <c r="L6" s="124" t="str">
        <f t="shared" ref="L6:L24" si="1">DATEDIF(B6,$L$2,"y")&amp;"年"&amp;DATEDIF(B6,$L$2,"ym")&amp;"ヶ月"</f>
        <v>1年10ヶ月</v>
      </c>
      <c r="M6" s="58"/>
      <c r="N6" s="58"/>
      <c r="O6" s="53"/>
      <c r="P6" s="59"/>
      <c r="Q6" s="52" t="e">
        <f t="shared" ref="Q6:Q24" si="2">O6*P6-F6</f>
        <v>#VALUE!</v>
      </c>
      <c r="R6" s="60" t="s">
        <v>23</v>
      </c>
      <c r="S6" s="61"/>
    </row>
    <row r="7" spans="1:20" ht="24" customHeight="1">
      <c r="A7" s="15" t="s">
        <v>55</v>
      </c>
      <c r="B7" s="120">
        <v>42095</v>
      </c>
      <c r="C7" s="16">
        <v>1400</v>
      </c>
      <c r="D7" s="51" t="s">
        <v>28</v>
      </c>
      <c r="E7" s="52" t="s">
        <v>28</v>
      </c>
      <c r="F7" s="53" t="s">
        <v>28</v>
      </c>
      <c r="G7" s="54" t="s">
        <v>28</v>
      </c>
      <c r="H7" s="52" t="s">
        <v>28</v>
      </c>
      <c r="I7" s="53">
        <v>15400</v>
      </c>
      <c r="J7" s="55">
        <f t="shared" si="0"/>
        <v>14400.54</v>
      </c>
      <c r="K7" s="56">
        <v>0.93510000000000004</v>
      </c>
      <c r="L7" s="124" t="str">
        <f t="shared" si="1"/>
        <v>0年11ヶ月</v>
      </c>
      <c r="M7" s="58"/>
      <c r="N7" s="58"/>
      <c r="O7" s="53"/>
      <c r="P7" s="59"/>
      <c r="Q7" s="52" t="e">
        <f t="shared" si="2"/>
        <v>#VALUE!</v>
      </c>
      <c r="R7" s="60" t="s">
        <v>47</v>
      </c>
      <c r="S7" s="61"/>
    </row>
    <row r="8" spans="1:20" ht="24" customHeight="1">
      <c r="A8" s="15" t="s">
        <v>54</v>
      </c>
      <c r="B8" s="120">
        <v>42125</v>
      </c>
      <c r="C8" s="16">
        <v>1400</v>
      </c>
      <c r="D8" s="51" t="s">
        <v>28</v>
      </c>
      <c r="E8" s="52" t="s">
        <v>28</v>
      </c>
      <c r="F8" s="53" t="s">
        <v>28</v>
      </c>
      <c r="G8" s="54" t="s">
        <v>28</v>
      </c>
      <c r="H8" s="52" t="s">
        <v>28</v>
      </c>
      <c r="I8" s="53">
        <v>14000</v>
      </c>
      <c r="J8" s="55">
        <f t="shared" si="0"/>
        <v>12000.8</v>
      </c>
      <c r="K8" s="56">
        <v>0.85719999999999996</v>
      </c>
      <c r="L8" s="124" t="str">
        <f t="shared" si="1"/>
        <v>0年10ヶ月</v>
      </c>
      <c r="M8" s="58"/>
      <c r="N8" s="58"/>
      <c r="O8" s="53"/>
      <c r="P8" s="59"/>
      <c r="Q8" s="52" t="e">
        <f t="shared" si="2"/>
        <v>#VALUE!</v>
      </c>
      <c r="R8" s="60" t="s">
        <v>20</v>
      </c>
      <c r="S8" s="61"/>
    </row>
    <row r="9" spans="1:20" ht="24" customHeight="1">
      <c r="A9" s="15" t="s">
        <v>56</v>
      </c>
      <c r="B9" s="120">
        <v>42125</v>
      </c>
      <c r="C9" s="16">
        <v>1400</v>
      </c>
      <c r="D9" s="62" t="s">
        <v>28</v>
      </c>
      <c r="E9" s="52" t="s">
        <v>28</v>
      </c>
      <c r="F9" s="53" t="s">
        <v>28</v>
      </c>
      <c r="G9" s="63" t="s">
        <v>28</v>
      </c>
      <c r="H9" s="52" t="s">
        <v>28</v>
      </c>
      <c r="I9" s="53">
        <v>14000</v>
      </c>
      <c r="J9" s="55">
        <f t="shared" si="0"/>
        <v>13091.400000000001</v>
      </c>
      <c r="K9" s="56">
        <v>0.93510000000000004</v>
      </c>
      <c r="L9" s="124" t="str">
        <f t="shared" si="1"/>
        <v>0年10ヶ月</v>
      </c>
      <c r="M9" s="58"/>
      <c r="N9" s="58"/>
      <c r="O9" s="53"/>
      <c r="P9" s="59"/>
      <c r="Q9" s="52" t="e">
        <f t="shared" si="2"/>
        <v>#VALUE!</v>
      </c>
      <c r="R9" s="250" t="s">
        <v>111</v>
      </c>
      <c r="S9" s="251"/>
    </row>
    <row r="10" spans="1:20" ht="24" customHeight="1">
      <c r="A10" s="15"/>
      <c r="B10" s="120"/>
      <c r="C10" s="16"/>
      <c r="D10" s="62"/>
      <c r="E10" s="52"/>
      <c r="F10" s="53"/>
      <c r="G10" s="63"/>
      <c r="H10" s="52"/>
      <c r="I10" s="53"/>
      <c r="J10" s="55"/>
      <c r="K10" s="56"/>
      <c r="L10" s="124"/>
      <c r="M10" s="122"/>
      <c r="N10" s="58"/>
      <c r="O10" s="53"/>
      <c r="P10" s="59"/>
      <c r="Q10" s="52"/>
      <c r="R10" s="60"/>
      <c r="S10" s="61"/>
    </row>
    <row r="11" spans="1:20" ht="24" customHeight="1">
      <c r="A11" s="15" t="s">
        <v>85</v>
      </c>
      <c r="B11" s="120">
        <v>40664</v>
      </c>
      <c r="C11" s="16">
        <v>1400</v>
      </c>
      <c r="D11" s="51">
        <v>40695</v>
      </c>
      <c r="E11" s="52">
        <v>43400</v>
      </c>
      <c r="F11" s="53">
        <v>42350</v>
      </c>
      <c r="G11" s="54">
        <v>41639</v>
      </c>
      <c r="H11" s="52" t="s">
        <v>19</v>
      </c>
      <c r="I11" s="53">
        <v>81200</v>
      </c>
      <c r="J11" s="55">
        <f t="shared" si="0"/>
        <v>80144.399999999994</v>
      </c>
      <c r="K11" s="56">
        <v>0.98699999999999999</v>
      </c>
      <c r="L11" s="124" t="str">
        <f t="shared" si="1"/>
        <v>4年10ヶ月</v>
      </c>
      <c r="M11" s="58">
        <v>42626</v>
      </c>
      <c r="N11" s="58" t="s">
        <v>66</v>
      </c>
      <c r="O11" s="53">
        <v>94600</v>
      </c>
      <c r="P11" s="59">
        <v>0.99170000000000003</v>
      </c>
      <c r="Q11" s="52">
        <f>O11*P11-F11</f>
        <v>51464.820000000007</v>
      </c>
      <c r="R11" s="250" t="s">
        <v>117</v>
      </c>
      <c r="S11" s="251"/>
    </row>
    <row r="12" spans="1:20" ht="24" customHeight="1">
      <c r="A12" s="15" t="s">
        <v>113</v>
      </c>
      <c r="B12" s="120">
        <v>42217</v>
      </c>
      <c r="C12" s="16">
        <v>1400</v>
      </c>
      <c r="D12" s="51" t="s">
        <v>109</v>
      </c>
      <c r="E12" s="52" t="s">
        <v>109</v>
      </c>
      <c r="F12" s="64" t="s">
        <v>109</v>
      </c>
      <c r="G12" s="54" t="s">
        <v>109</v>
      </c>
      <c r="H12" s="52" t="s">
        <v>109</v>
      </c>
      <c r="I12" s="53">
        <v>9800</v>
      </c>
      <c r="J12" s="55">
        <f t="shared" si="0"/>
        <v>5345.9</v>
      </c>
      <c r="K12" s="56">
        <v>0.54549999999999998</v>
      </c>
      <c r="L12" s="124" t="str">
        <f t="shared" si="1"/>
        <v>0年7ヶ月</v>
      </c>
      <c r="M12" s="58"/>
      <c r="N12" s="58"/>
      <c r="O12" s="53"/>
      <c r="P12" s="59"/>
      <c r="Q12" s="52"/>
      <c r="R12" s="75" t="s">
        <v>117</v>
      </c>
      <c r="S12" s="76"/>
    </row>
    <row r="13" spans="1:20" ht="24" customHeight="1">
      <c r="A13" s="15" t="s">
        <v>116</v>
      </c>
      <c r="B13" s="120">
        <v>42278</v>
      </c>
      <c r="C13" s="16">
        <v>1400</v>
      </c>
      <c r="D13" s="51" t="s">
        <v>115</v>
      </c>
      <c r="E13" s="52" t="s">
        <v>115</v>
      </c>
      <c r="F13" s="64" t="s">
        <v>115</v>
      </c>
      <c r="G13" s="54" t="s">
        <v>115</v>
      </c>
      <c r="H13" s="52" t="s">
        <v>115</v>
      </c>
      <c r="I13" s="53">
        <v>7000</v>
      </c>
      <c r="J13" s="55">
        <f t="shared" si="0"/>
        <v>2727.2</v>
      </c>
      <c r="K13" s="56">
        <v>0.3896</v>
      </c>
      <c r="L13" s="124" t="str">
        <f t="shared" si="1"/>
        <v>0年5ヶ月</v>
      </c>
      <c r="M13" s="58"/>
      <c r="N13" s="58"/>
      <c r="O13" s="53"/>
      <c r="P13" s="59"/>
      <c r="Q13" s="52"/>
      <c r="R13" s="80" t="s">
        <v>25</v>
      </c>
      <c r="S13" s="81"/>
    </row>
    <row r="14" spans="1:20" ht="24" customHeight="1">
      <c r="A14" s="15"/>
      <c r="B14" s="120"/>
      <c r="C14" s="16"/>
      <c r="D14" s="51"/>
      <c r="E14" s="52"/>
      <c r="F14" s="64"/>
      <c r="G14" s="54"/>
      <c r="H14" s="52"/>
      <c r="I14" s="53"/>
      <c r="J14" s="55"/>
      <c r="K14" s="56"/>
      <c r="L14" s="124"/>
      <c r="M14" s="58"/>
      <c r="N14" s="58"/>
      <c r="O14" s="53"/>
      <c r="P14" s="59"/>
      <c r="Q14" s="52"/>
      <c r="R14" s="60"/>
      <c r="S14" s="61"/>
    </row>
    <row r="15" spans="1:20" ht="24" customHeight="1">
      <c r="A15" s="15" t="s">
        <v>38</v>
      </c>
      <c r="B15" s="120">
        <v>39173</v>
      </c>
      <c r="C15" s="16">
        <v>3400</v>
      </c>
      <c r="D15" s="51">
        <v>39539</v>
      </c>
      <c r="E15" s="52">
        <v>123800</v>
      </c>
      <c r="F15" s="64">
        <v>122990</v>
      </c>
      <c r="G15" s="54">
        <v>41729</v>
      </c>
      <c r="H15" s="52" t="s">
        <v>52</v>
      </c>
      <c r="I15" s="53">
        <v>209800</v>
      </c>
      <c r="J15" s="55">
        <f t="shared" si="0"/>
        <v>209925.87999999998</v>
      </c>
      <c r="K15" s="56">
        <v>1.0005999999999999</v>
      </c>
      <c r="L15" s="124" t="str">
        <f t="shared" si="1"/>
        <v>8年11ヶ月</v>
      </c>
      <c r="M15" s="58">
        <v>43097</v>
      </c>
      <c r="N15" s="58" t="s">
        <v>78</v>
      </c>
      <c r="O15" s="53">
        <v>244550</v>
      </c>
      <c r="P15" s="59">
        <v>1.0027999999999999</v>
      </c>
      <c r="Q15" s="52">
        <f t="shared" si="2"/>
        <v>122244.73999999999</v>
      </c>
      <c r="R15" s="60" t="s">
        <v>48</v>
      </c>
      <c r="S15" s="61"/>
    </row>
    <row r="16" spans="1:20" ht="24" customHeight="1">
      <c r="A16" s="15" t="s">
        <v>39</v>
      </c>
      <c r="B16" s="120">
        <v>38108</v>
      </c>
      <c r="C16" s="16">
        <v>4400</v>
      </c>
      <c r="D16" s="51">
        <v>38139</v>
      </c>
      <c r="E16" s="52">
        <v>247200</v>
      </c>
      <c r="F16" s="64">
        <v>249190</v>
      </c>
      <c r="G16" s="54">
        <v>41729</v>
      </c>
      <c r="H16" s="52" t="s">
        <v>49</v>
      </c>
      <c r="I16" s="53">
        <v>351800</v>
      </c>
      <c r="J16" s="55">
        <f t="shared" si="0"/>
        <v>355106.92000000004</v>
      </c>
      <c r="K16" s="56">
        <v>1.0094000000000001</v>
      </c>
      <c r="L16" s="124" t="str">
        <f t="shared" si="1"/>
        <v>11年10ヶ月</v>
      </c>
      <c r="M16" s="58">
        <v>42765</v>
      </c>
      <c r="N16" s="58" t="s">
        <v>92</v>
      </c>
      <c r="O16" s="53">
        <v>395800</v>
      </c>
      <c r="P16" s="59">
        <v>1.012</v>
      </c>
      <c r="Q16" s="52">
        <f t="shared" si="2"/>
        <v>151359.59999999998</v>
      </c>
      <c r="R16" s="60" t="s">
        <v>48</v>
      </c>
      <c r="S16" s="61"/>
    </row>
    <row r="17" spans="1:19" ht="24" customHeight="1">
      <c r="A17" s="15" t="s">
        <v>40</v>
      </c>
      <c r="B17" s="120">
        <v>38473</v>
      </c>
      <c r="C17" s="16">
        <v>4400</v>
      </c>
      <c r="D17" s="51">
        <v>38504</v>
      </c>
      <c r="E17" s="52">
        <v>206400</v>
      </c>
      <c r="F17" s="64">
        <v>207300</v>
      </c>
      <c r="G17" s="54">
        <v>41729</v>
      </c>
      <c r="H17" s="52" t="s">
        <v>50</v>
      </c>
      <c r="I17" s="53">
        <v>299000</v>
      </c>
      <c r="J17" s="55">
        <f t="shared" si="0"/>
        <v>300853.8</v>
      </c>
      <c r="K17" s="56">
        <v>1.0062</v>
      </c>
      <c r="L17" s="124" t="str">
        <f t="shared" si="1"/>
        <v>10年10ヶ月</v>
      </c>
      <c r="M17" s="58"/>
      <c r="N17" s="58"/>
      <c r="O17" s="53"/>
      <c r="P17" s="59"/>
      <c r="Q17" s="52">
        <f t="shared" si="2"/>
        <v>-207300</v>
      </c>
      <c r="R17" s="60" t="s">
        <v>48</v>
      </c>
      <c r="S17" s="61"/>
    </row>
    <row r="18" spans="1:19" ht="24" customHeight="1">
      <c r="A18" s="15" t="s">
        <v>41</v>
      </c>
      <c r="B18" s="120">
        <v>38473</v>
      </c>
      <c r="C18" s="16">
        <v>4400</v>
      </c>
      <c r="D18" s="51">
        <v>38504</v>
      </c>
      <c r="E18" s="52">
        <v>206400</v>
      </c>
      <c r="F18" s="64">
        <v>207300</v>
      </c>
      <c r="G18" s="54">
        <v>41729</v>
      </c>
      <c r="H18" s="52" t="s">
        <v>50</v>
      </c>
      <c r="I18" s="53">
        <v>299000</v>
      </c>
      <c r="J18" s="55">
        <f t="shared" si="0"/>
        <v>300853.8</v>
      </c>
      <c r="K18" s="56">
        <v>1.0062</v>
      </c>
      <c r="L18" s="124" t="str">
        <f t="shared" si="1"/>
        <v>10年10ヶ月</v>
      </c>
      <c r="M18" s="58"/>
      <c r="N18" s="58"/>
      <c r="O18" s="53"/>
      <c r="P18" s="59"/>
      <c r="Q18" s="52">
        <f t="shared" si="2"/>
        <v>-207300</v>
      </c>
      <c r="R18" s="60" t="s">
        <v>48</v>
      </c>
      <c r="S18" s="61"/>
    </row>
    <row r="19" spans="1:19" ht="24" customHeight="1">
      <c r="A19" s="15" t="s">
        <v>42</v>
      </c>
      <c r="B19" s="120">
        <v>41030</v>
      </c>
      <c r="C19" s="16">
        <v>1400</v>
      </c>
      <c r="D19" s="51">
        <v>41061</v>
      </c>
      <c r="E19" s="52">
        <v>30800</v>
      </c>
      <c r="F19" s="64">
        <v>29680</v>
      </c>
      <c r="G19" s="54">
        <v>41729</v>
      </c>
      <c r="H19" s="52" t="s">
        <v>51</v>
      </c>
      <c r="I19" s="53">
        <v>64400</v>
      </c>
      <c r="J19" s="55">
        <f t="shared" si="0"/>
        <v>63330.960000000006</v>
      </c>
      <c r="K19" s="56">
        <v>0.98340000000000005</v>
      </c>
      <c r="L19" s="124" t="str">
        <f t="shared" si="1"/>
        <v>3年10ヶ月</v>
      </c>
      <c r="M19" s="58"/>
      <c r="N19" s="58"/>
      <c r="O19" s="53"/>
      <c r="P19" s="59">
        <v>1.0062</v>
      </c>
      <c r="Q19" s="52">
        <f t="shared" si="2"/>
        <v>-29680</v>
      </c>
      <c r="R19" s="60" t="s">
        <v>48</v>
      </c>
      <c r="S19" s="61"/>
    </row>
    <row r="20" spans="1:19" ht="24" customHeight="1">
      <c r="A20" s="15" t="s">
        <v>43</v>
      </c>
      <c r="B20" s="120">
        <v>41030</v>
      </c>
      <c r="C20" s="16">
        <v>1400</v>
      </c>
      <c r="D20" s="51">
        <v>41061</v>
      </c>
      <c r="E20" s="52">
        <v>30800</v>
      </c>
      <c r="F20" s="64">
        <v>29680</v>
      </c>
      <c r="G20" s="54">
        <v>41729</v>
      </c>
      <c r="H20" s="52" t="s">
        <v>51</v>
      </c>
      <c r="I20" s="53">
        <v>64400</v>
      </c>
      <c r="J20" s="55">
        <f t="shared" si="0"/>
        <v>63330.960000000006</v>
      </c>
      <c r="K20" s="56">
        <v>0.98340000000000005</v>
      </c>
      <c r="L20" s="124" t="str">
        <f t="shared" si="1"/>
        <v>3年10ヶ月</v>
      </c>
      <c r="M20" s="58"/>
      <c r="N20" s="58"/>
      <c r="O20" s="53"/>
      <c r="P20" s="59"/>
      <c r="Q20" s="52">
        <f t="shared" si="2"/>
        <v>-29680</v>
      </c>
      <c r="R20" s="60" t="s">
        <v>48</v>
      </c>
      <c r="S20" s="61"/>
    </row>
    <row r="21" spans="1:19" ht="24" customHeight="1">
      <c r="A21" s="15" t="s">
        <v>44</v>
      </c>
      <c r="B21" s="120">
        <v>41944</v>
      </c>
      <c r="C21" s="16">
        <v>1400</v>
      </c>
      <c r="D21" s="51" t="s">
        <v>28</v>
      </c>
      <c r="E21" s="52" t="s">
        <v>28</v>
      </c>
      <c r="F21" s="64" t="s">
        <v>28</v>
      </c>
      <c r="G21" s="54" t="s">
        <v>28</v>
      </c>
      <c r="H21" s="52" t="s">
        <v>28</v>
      </c>
      <c r="I21" s="53">
        <v>22400</v>
      </c>
      <c r="J21" s="55">
        <f t="shared" si="0"/>
        <v>21174.720000000001</v>
      </c>
      <c r="K21" s="56">
        <v>0.94530000000000003</v>
      </c>
      <c r="L21" s="124" t="str">
        <f t="shared" si="1"/>
        <v>1年4ヶ月</v>
      </c>
      <c r="M21" s="58"/>
      <c r="N21" s="58"/>
      <c r="O21" s="53"/>
      <c r="P21" s="59"/>
      <c r="Q21" s="52" t="e">
        <f t="shared" si="2"/>
        <v>#VALUE!</v>
      </c>
      <c r="R21" s="60" t="s">
        <v>48</v>
      </c>
      <c r="S21" s="61"/>
    </row>
    <row r="22" spans="1:19" ht="24" customHeight="1">
      <c r="A22" s="15" t="s">
        <v>79</v>
      </c>
      <c r="B22" s="120">
        <v>42186</v>
      </c>
      <c r="C22" s="16">
        <v>1400</v>
      </c>
      <c r="D22" s="51" t="s">
        <v>28</v>
      </c>
      <c r="E22" s="52" t="s">
        <v>28</v>
      </c>
      <c r="F22" s="64" t="s">
        <v>28</v>
      </c>
      <c r="G22" s="54" t="s">
        <v>28</v>
      </c>
      <c r="H22" s="52" t="s">
        <v>28</v>
      </c>
      <c r="I22" s="53">
        <v>11200</v>
      </c>
      <c r="J22" s="55">
        <f t="shared" si="0"/>
        <v>6982.08</v>
      </c>
      <c r="K22" s="56">
        <v>0.62339999999999995</v>
      </c>
      <c r="L22" s="124" t="str">
        <f t="shared" si="1"/>
        <v>0年8ヶ月</v>
      </c>
      <c r="M22" s="58"/>
      <c r="N22" s="58"/>
      <c r="O22" s="53"/>
      <c r="P22" s="59"/>
      <c r="Q22" s="52" t="e">
        <f t="shared" si="2"/>
        <v>#VALUE!</v>
      </c>
      <c r="R22" s="60" t="s">
        <v>48</v>
      </c>
      <c r="S22" s="61"/>
    </row>
    <row r="23" spans="1:19" ht="24" customHeight="1">
      <c r="A23" s="15" t="s">
        <v>568</v>
      </c>
      <c r="B23" s="120">
        <v>42278</v>
      </c>
      <c r="C23" s="16"/>
      <c r="D23" s="51" t="s">
        <v>567</v>
      </c>
      <c r="E23" s="52" t="s">
        <v>567</v>
      </c>
      <c r="F23" s="64" t="s">
        <v>567</v>
      </c>
      <c r="G23" s="54" t="s">
        <v>567</v>
      </c>
      <c r="H23" s="52" t="s">
        <v>567</v>
      </c>
      <c r="I23" s="64">
        <v>7000</v>
      </c>
      <c r="J23" s="55">
        <f t="shared" si="0"/>
        <v>2727.2</v>
      </c>
      <c r="K23" s="56">
        <v>0.3896</v>
      </c>
      <c r="L23" s="124" t="str">
        <f t="shared" si="1"/>
        <v>0年5ヶ月</v>
      </c>
      <c r="M23" s="58"/>
      <c r="N23" s="58"/>
      <c r="O23" s="64"/>
      <c r="P23" s="59"/>
      <c r="Q23" s="52" t="e">
        <f t="shared" si="2"/>
        <v>#VALUE!</v>
      </c>
      <c r="R23" s="125" t="s">
        <v>48</v>
      </c>
      <c r="S23" s="126"/>
    </row>
    <row r="24" spans="1:19" ht="24" customHeight="1">
      <c r="A24" s="15" t="s">
        <v>576</v>
      </c>
      <c r="B24" s="120">
        <v>42309</v>
      </c>
      <c r="C24" s="16"/>
      <c r="D24" s="51" t="s">
        <v>577</v>
      </c>
      <c r="E24" s="52" t="s">
        <v>577</v>
      </c>
      <c r="F24" s="64" t="s">
        <v>577</v>
      </c>
      <c r="G24" s="54" t="s">
        <v>577</v>
      </c>
      <c r="H24" s="52" t="s">
        <v>577</v>
      </c>
      <c r="I24" s="64">
        <v>5600</v>
      </c>
      <c r="J24" s="55">
        <f t="shared" si="0"/>
        <v>1745.52</v>
      </c>
      <c r="K24" s="56">
        <v>0.31169999999999998</v>
      </c>
      <c r="L24" s="124" t="str">
        <f t="shared" si="1"/>
        <v>0年4ヶ月</v>
      </c>
      <c r="M24" s="58"/>
      <c r="N24" s="58"/>
      <c r="O24" s="64"/>
      <c r="P24" s="59"/>
      <c r="Q24" s="52" t="e">
        <f t="shared" si="2"/>
        <v>#VALUE!</v>
      </c>
      <c r="R24" s="133" t="s">
        <v>578</v>
      </c>
      <c r="S24" s="134"/>
    </row>
    <row r="25" spans="1:19" ht="24" customHeight="1" thickBot="1">
      <c r="A25" s="17" t="s">
        <v>581</v>
      </c>
      <c r="B25" s="120"/>
      <c r="C25" s="15"/>
      <c r="D25" s="62"/>
      <c r="E25" s="52"/>
      <c r="F25" s="65">
        <f>SUM(F5:F22)</f>
        <v>912560</v>
      </c>
      <c r="G25" s="63"/>
      <c r="H25" s="52"/>
      <c r="I25" s="65">
        <f>SUM(I5:I24)</f>
        <v>1569800</v>
      </c>
      <c r="J25" s="55">
        <f>SUM(J5:J24)</f>
        <v>1545331.34</v>
      </c>
      <c r="K25" s="66"/>
      <c r="L25" s="57"/>
      <c r="M25" s="52"/>
      <c r="N25" s="52"/>
      <c r="O25" s="65"/>
      <c r="P25" s="67"/>
      <c r="Q25" s="52"/>
      <c r="R25" s="250"/>
      <c r="S25" s="251"/>
    </row>
    <row r="26" spans="1:19">
      <c r="B26" s="18"/>
      <c r="C26" s="18"/>
      <c r="H26" s="52" t="s">
        <v>583</v>
      </c>
      <c r="I26" s="137" t="e">
        <f>I25-#REF!</f>
        <v>#REF!</v>
      </c>
    </row>
    <row r="27" spans="1:19">
      <c r="B27" s="1" t="s">
        <v>53</v>
      </c>
      <c r="C27" s="32">
        <f>1400*12</f>
        <v>16800</v>
      </c>
    </row>
    <row r="28" spans="1:19">
      <c r="B28" s="1" t="s">
        <v>69</v>
      </c>
      <c r="C28" s="32">
        <f>1400*24</f>
        <v>33600</v>
      </c>
      <c r="D28" s="45"/>
      <c r="E28" s="256" t="s">
        <v>29</v>
      </c>
      <c r="F28" s="257"/>
      <c r="H28" s="258"/>
      <c r="I28" s="260" t="s">
        <v>86</v>
      </c>
      <c r="J28" s="260"/>
      <c r="K28" s="24" t="s">
        <v>87</v>
      </c>
      <c r="L28" s="27" t="s">
        <v>67</v>
      </c>
      <c r="M28" s="27" t="s">
        <v>88</v>
      </c>
      <c r="N28" s="27" t="s">
        <v>67</v>
      </c>
      <c r="O28" s="24"/>
      <c r="P28" s="27" t="s">
        <v>87</v>
      </c>
      <c r="Q28" s="28" t="s">
        <v>89</v>
      </c>
      <c r="R28" s="27" t="s">
        <v>87</v>
      </c>
    </row>
    <row r="29" spans="1:19">
      <c r="B29" s="1" t="s">
        <v>62</v>
      </c>
      <c r="C29" s="32">
        <f>1400*36</f>
        <v>50400</v>
      </c>
      <c r="D29" s="43"/>
      <c r="E29" s="246" t="s">
        <v>30</v>
      </c>
      <c r="F29" s="247"/>
      <c r="G29" s="22" t="s">
        <v>31</v>
      </c>
      <c r="H29" s="259"/>
      <c r="I29" s="23" t="s">
        <v>67</v>
      </c>
      <c r="J29" s="23" t="s">
        <v>98</v>
      </c>
      <c r="K29" s="25" t="s">
        <v>68</v>
      </c>
      <c r="L29" s="25" t="s">
        <v>68</v>
      </c>
      <c r="M29" s="25" t="s">
        <v>68</v>
      </c>
      <c r="N29" s="25" t="s">
        <v>68</v>
      </c>
      <c r="O29" s="25" t="s">
        <v>98</v>
      </c>
      <c r="P29" s="25" t="s">
        <v>6</v>
      </c>
      <c r="Q29" s="25" t="s">
        <v>90</v>
      </c>
      <c r="R29" s="25" t="s">
        <v>93</v>
      </c>
    </row>
    <row r="30" spans="1:19">
      <c r="B30" s="1" t="s">
        <v>70</v>
      </c>
      <c r="C30" s="32">
        <f>1400*48</f>
        <v>67200</v>
      </c>
      <c r="D30" s="44"/>
      <c r="E30" s="254" t="s">
        <v>32</v>
      </c>
      <c r="F30" s="255"/>
      <c r="G30" s="22" t="s">
        <v>33</v>
      </c>
      <c r="H30" s="26" t="s">
        <v>55</v>
      </c>
      <c r="I30" s="73">
        <v>1</v>
      </c>
      <c r="J30" s="73">
        <v>10</v>
      </c>
      <c r="K30" s="68">
        <f t="shared" ref="K30:K36" si="3">(L30+((M30-N30)*O30/12))*P30</f>
        <v>46467.119999999995</v>
      </c>
      <c r="L30" s="68">
        <v>33600</v>
      </c>
      <c r="M30" s="68">
        <v>50400</v>
      </c>
      <c r="N30" s="68">
        <v>33600</v>
      </c>
      <c r="O30" s="69">
        <v>10</v>
      </c>
      <c r="P30" s="74">
        <v>0.97619999999999996</v>
      </c>
      <c r="Q30" s="68">
        <v>22640</v>
      </c>
      <c r="R30" s="71">
        <f>K30-Q30</f>
        <v>23827.119999999995</v>
      </c>
    </row>
    <row r="31" spans="1:19">
      <c r="B31" s="1" t="s">
        <v>71</v>
      </c>
      <c r="C31" s="32">
        <f>C30+(1400*11)</f>
        <v>82600</v>
      </c>
      <c r="D31" s="44"/>
      <c r="E31" s="254" t="s">
        <v>34</v>
      </c>
      <c r="F31" s="255"/>
      <c r="G31" s="22" t="s">
        <v>35</v>
      </c>
      <c r="H31" s="26" t="s">
        <v>85</v>
      </c>
      <c r="I31" s="128">
        <v>5</v>
      </c>
      <c r="J31" s="128">
        <v>4</v>
      </c>
      <c r="K31" s="68">
        <f t="shared" si="3"/>
        <v>93814.82</v>
      </c>
      <c r="L31" s="68">
        <v>85000</v>
      </c>
      <c r="M31" s="68">
        <v>113800</v>
      </c>
      <c r="N31" s="68">
        <v>85000</v>
      </c>
      <c r="O31" s="69">
        <v>4</v>
      </c>
      <c r="P31" s="70">
        <v>0.99170000000000003</v>
      </c>
      <c r="Q31" s="68">
        <v>42350</v>
      </c>
      <c r="R31" s="71">
        <f t="shared" ref="R31:R36" si="4">K31-Q31</f>
        <v>51464.820000000007</v>
      </c>
    </row>
    <row r="32" spans="1:19">
      <c r="B32" s="1" t="s">
        <v>72</v>
      </c>
      <c r="C32" s="32">
        <f>C31+2400</f>
        <v>85000</v>
      </c>
      <c r="D32" s="42"/>
      <c r="E32" s="248" t="s">
        <v>36</v>
      </c>
      <c r="F32" s="249"/>
      <c r="G32" s="31" t="s">
        <v>37</v>
      </c>
      <c r="H32" s="29" t="s">
        <v>39</v>
      </c>
      <c r="I32" s="128">
        <v>12</v>
      </c>
      <c r="J32" s="128">
        <v>8</v>
      </c>
      <c r="K32" s="68">
        <f t="shared" si="3"/>
        <v>400549.6</v>
      </c>
      <c r="L32" s="68">
        <v>360600</v>
      </c>
      <c r="M32" s="68">
        <v>413400</v>
      </c>
      <c r="N32" s="68">
        <v>360600</v>
      </c>
      <c r="O32" s="69">
        <v>8</v>
      </c>
      <c r="P32" s="70">
        <v>1.012</v>
      </c>
      <c r="Q32" s="71">
        <v>249190</v>
      </c>
      <c r="R32" s="71">
        <f t="shared" si="4"/>
        <v>151359.59999999998</v>
      </c>
    </row>
    <row r="33" spans="2:18">
      <c r="B33" s="1" t="s">
        <v>52</v>
      </c>
      <c r="C33" s="32">
        <f>C32+2400*12</f>
        <v>113800</v>
      </c>
      <c r="H33" s="26" t="s">
        <v>38</v>
      </c>
      <c r="I33" s="128">
        <v>9</v>
      </c>
      <c r="J33" s="128">
        <v>9</v>
      </c>
      <c r="K33" s="68">
        <f t="shared" si="3"/>
        <v>245234.74</v>
      </c>
      <c r="L33" s="68">
        <v>213200</v>
      </c>
      <c r="M33" s="68">
        <v>255000</v>
      </c>
      <c r="N33" s="68">
        <v>213200</v>
      </c>
      <c r="O33" s="72">
        <v>9</v>
      </c>
      <c r="P33" s="70">
        <v>1.0027999999999999</v>
      </c>
      <c r="Q33" s="71">
        <v>122990</v>
      </c>
      <c r="R33" s="71">
        <f t="shared" si="4"/>
        <v>122244.73999999999</v>
      </c>
    </row>
    <row r="34" spans="2:18">
      <c r="B34" s="1" t="s">
        <v>64</v>
      </c>
      <c r="C34" s="32">
        <f>C33+2400*12</f>
        <v>142600</v>
      </c>
      <c r="D34" s="92" t="s">
        <v>129</v>
      </c>
      <c r="E34" s="93" t="s">
        <v>128</v>
      </c>
      <c r="F34" s="93"/>
      <c r="G34" s="1"/>
      <c r="H34" s="26" t="s">
        <v>56</v>
      </c>
      <c r="I34" s="128">
        <v>5</v>
      </c>
      <c r="J34" s="128">
        <v>10</v>
      </c>
      <c r="K34" s="68">
        <f t="shared" si="3"/>
        <v>108771.1</v>
      </c>
      <c r="L34" s="68">
        <v>85000</v>
      </c>
      <c r="M34" s="68">
        <v>113800</v>
      </c>
      <c r="N34" s="68">
        <v>85000</v>
      </c>
      <c r="O34" s="129">
        <v>10</v>
      </c>
      <c r="P34" s="70">
        <v>0.99790000000000001</v>
      </c>
      <c r="Q34" s="71">
        <v>0</v>
      </c>
      <c r="R34" s="71">
        <f t="shared" si="4"/>
        <v>108771.1</v>
      </c>
    </row>
    <row r="35" spans="2:18">
      <c r="B35" s="1" t="s">
        <v>73</v>
      </c>
      <c r="C35" s="32">
        <f>C34+2400*11</f>
        <v>169000</v>
      </c>
      <c r="D35" s="94" t="s">
        <v>124</v>
      </c>
      <c r="E35" s="32">
        <f>1400*12</f>
        <v>16800</v>
      </c>
      <c r="G35" s="1"/>
      <c r="H35" s="26" t="s">
        <v>91</v>
      </c>
      <c r="I35" s="128">
        <v>10</v>
      </c>
      <c r="J35" s="128">
        <v>11</v>
      </c>
      <c r="K35" s="68">
        <f t="shared" si="3"/>
        <v>305341.76</v>
      </c>
      <c r="L35" s="68">
        <v>255000</v>
      </c>
      <c r="M35" s="68">
        <v>307800</v>
      </c>
      <c r="N35" s="68">
        <v>255000</v>
      </c>
      <c r="O35" s="129">
        <v>11</v>
      </c>
      <c r="P35" s="70">
        <v>1.0064</v>
      </c>
      <c r="Q35" s="71">
        <v>24070</v>
      </c>
      <c r="R35" s="71">
        <f t="shared" si="4"/>
        <v>281271.76</v>
      </c>
    </row>
    <row r="36" spans="2:18">
      <c r="B36" s="1" t="s">
        <v>74</v>
      </c>
      <c r="C36" s="32">
        <f>C35+3400</f>
        <v>172400</v>
      </c>
      <c r="D36" s="94" t="s">
        <v>125</v>
      </c>
      <c r="E36" s="32">
        <f>2400*12</f>
        <v>28800</v>
      </c>
      <c r="G36" s="1"/>
      <c r="H36" s="26" t="s">
        <v>42</v>
      </c>
      <c r="I36" s="128">
        <v>10</v>
      </c>
      <c r="J36" s="128">
        <v>10</v>
      </c>
      <c r="K36" s="68">
        <f t="shared" si="3"/>
        <v>300853.8</v>
      </c>
      <c r="L36" s="68">
        <v>255000</v>
      </c>
      <c r="M36" s="68">
        <v>307800</v>
      </c>
      <c r="N36" s="68">
        <v>255000</v>
      </c>
      <c r="O36" s="130">
        <v>10</v>
      </c>
      <c r="P36" s="70">
        <v>1.0062</v>
      </c>
      <c r="Q36" s="71">
        <v>26980</v>
      </c>
      <c r="R36" s="71">
        <f t="shared" si="4"/>
        <v>273873.8</v>
      </c>
    </row>
    <row r="37" spans="2:18">
      <c r="B37" s="1" t="s">
        <v>75</v>
      </c>
      <c r="C37" s="32">
        <f>C36+3400*12</f>
        <v>213200</v>
      </c>
      <c r="D37" s="94" t="s">
        <v>126</v>
      </c>
      <c r="E37" s="32">
        <f>3400*12</f>
        <v>40800</v>
      </c>
      <c r="F37" s="32"/>
      <c r="G37" s="1"/>
      <c r="H37" s="21"/>
      <c r="I37" s="131" t="s">
        <v>95</v>
      </c>
      <c r="K37" s="19"/>
      <c r="L37" s="19"/>
      <c r="M37" s="19"/>
      <c r="N37" s="19"/>
      <c r="Q37" s="20"/>
    </row>
    <row r="38" spans="2:18">
      <c r="B38" s="1" t="s">
        <v>76</v>
      </c>
      <c r="C38" s="32">
        <f>C37+3400*11</f>
        <v>250600</v>
      </c>
      <c r="D38" s="91" t="s">
        <v>127</v>
      </c>
      <c r="E38" s="32">
        <f>4400*12</f>
        <v>52800</v>
      </c>
      <c r="G38" s="1"/>
      <c r="H38" s="21"/>
      <c r="I38" s="131" t="s">
        <v>94</v>
      </c>
      <c r="K38" s="19"/>
      <c r="L38" s="19"/>
      <c r="M38" s="19"/>
      <c r="N38" s="19"/>
      <c r="Q38" s="20"/>
    </row>
    <row r="39" spans="2:18">
      <c r="B39" s="1" t="s">
        <v>77</v>
      </c>
      <c r="C39" s="32">
        <f>C38+4400</f>
        <v>255000</v>
      </c>
      <c r="G39" s="1"/>
      <c r="I39" s="131" t="s">
        <v>97</v>
      </c>
      <c r="K39" s="19"/>
      <c r="L39" s="19"/>
      <c r="M39" s="19"/>
      <c r="N39" s="19"/>
      <c r="Q39" s="20"/>
    </row>
    <row r="40" spans="2:18">
      <c r="B40" s="1" t="s">
        <v>80</v>
      </c>
      <c r="C40" s="32">
        <f>C39+4400*12</f>
        <v>307800</v>
      </c>
      <c r="G40" s="1"/>
      <c r="I40" s="131" t="s">
        <v>96</v>
      </c>
      <c r="K40" s="19"/>
      <c r="L40" s="19"/>
      <c r="M40" s="19"/>
      <c r="N40" s="19"/>
      <c r="Q40" s="20"/>
    </row>
    <row r="41" spans="2:18">
      <c r="B41" s="1" t="s">
        <v>81</v>
      </c>
      <c r="C41" s="32">
        <f>C40+4400*12</f>
        <v>360600</v>
      </c>
      <c r="G41" s="1"/>
      <c r="I41" s="132" t="s">
        <v>114</v>
      </c>
      <c r="K41" s="19"/>
      <c r="Q41" s="20"/>
    </row>
    <row r="42" spans="2:18">
      <c r="B42" s="1" t="s">
        <v>82</v>
      </c>
      <c r="C42" s="32">
        <f>C41+4400*12</f>
        <v>413400</v>
      </c>
      <c r="G42" s="1"/>
      <c r="H42" s="33"/>
      <c r="I42" s="123"/>
      <c r="J42" s="33"/>
      <c r="K42" s="19"/>
      <c r="Q42" s="20"/>
    </row>
    <row r="43" spans="2:18">
      <c r="B43" s="1" t="s">
        <v>83</v>
      </c>
      <c r="C43" s="32">
        <f>C42+4400*12</f>
        <v>466200</v>
      </c>
      <c r="G43" s="1"/>
      <c r="H43" s="118"/>
      <c r="I43" s="132"/>
      <c r="J43" s="118"/>
      <c r="K43" s="1"/>
      <c r="L43" s="82"/>
      <c r="M43" s="82"/>
      <c r="N43" s="82"/>
      <c r="O43" s="1"/>
      <c r="P43" s="82"/>
      <c r="Q43" s="83"/>
      <c r="R43" s="82"/>
    </row>
    <row r="44" spans="2:18">
      <c r="B44" s="1" t="s">
        <v>84</v>
      </c>
      <c r="C44" s="32">
        <f>C43+4400*12</f>
        <v>519000</v>
      </c>
      <c r="G44" s="1"/>
      <c r="H44" s="21"/>
      <c r="I44" s="78"/>
      <c r="J44" s="119"/>
      <c r="K44" s="84"/>
      <c r="L44" s="84"/>
      <c r="M44" s="84"/>
      <c r="N44" s="84"/>
      <c r="O44" s="84"/>
      <c r="P44" s="84"/>
      <c r="Q44" s="84"/>
      <c r="R44" s="84"/>
    </row>
    <row r="45" spans="2:18">
      <c r="G45" s="77"/>
      <c r="H45" s="21"/>
      <c r="I45" s="78"/>
      <c r="J45" s="78"/>
      <c r="K45" s="85"/>
      <c r="L45" s="85"/>
      <c r="M45" s="85"/>
      <c r="N45" s="85"/>
      <c r="O45" s="86"/>
      <c r="P45" s="87"/>
      <c r="Q45" s="85"/>
      <c r="R45" s="88"/>
    </row>
    <row r="46" spans="2:18">
      <c r="G46" s="77"/>
      <c r="H46" s="89"/>
      <c r="I46" s="78"/>
      <c r="J46" s="78"/>
      <c r="K46" s="85"/>
      <c r="L46" s="85"/>
      <c r="M46" s="85"/>
      <c r="N46" s="85"/>
      <c r="O46" s="86"/>
      <c r="P46" s="87"/>
      <c r="Q46" s="88"/>
      <c r="R46" s="88"/>
    </row>
    <row r="47" spans="2:18">
      <c r="G47" s="77"/>
      <c r="H47" s="21"/>
      <c r="I47" s="78"/>
      <c r="J47" s="78"/>
      <c r="K47" s="85"/>
      <c r="L47" s="85"/>
      <c r="M47" s="85"/>
      <c r="N47" s="85"/>
      <c r="O47" s="90"/>
      <c r="P47" s="87"/>
      <c r="Q47" s="88"/>
      <c r="R47" s="88"/>
    </row>
    <row r="48" spans="2:18">
      <c r="H48" s="21"/>
      <c r="I48" s="78"/>
      <c r="J48" s="33"/>
    </row>
    <row r="49" spans="8:9">
      <c r="H49" s="21"/>
      <c r="I49" s="78"/>
    </row>
    <row r="50" spans="8:9">
      <c r="H50" s="127"/>
      <c r="I50" s="78"/>
    </row>
    <row r="51" spans="8:9">
      <c r="H51" s="33"/>
      <c r="I51" s="1"/>
    </row>
    <row r="52" spans="8:9">
      <c r="H52" s="78"/>
      <c r="I52" s="1"/>
    </row>
    <row r="53" spans="8:9">
      <c r="H53" s="78"/>
    </row>
    <row r="54" spans="8:9">
      <c r="H54" s="78"/>
    </row>
    <row r="55" spans="8:9">
      <c r="H55" s="79"/>
    </row>
    <row r="56" spans="8:9">
      <c r="H56" s="78"/>
    </row>
    <row r="57" spans="8:9">
      <c r="H57" s="78"/>
    </row>
    <row r="58" spans="8:9">
      <c r="H58" s="78"/>
    </row>
    <row r="59" spans="8:9">
      <c r="H59" s="78"/>
    </row>
  </sheetData>
  <mergeCells count="16">
    <mergeCell ref="E30:F30"/>
    <mergeCell ref="E31:F31"/>
    <mergeCell ref="E32:F32"/>
    <mergeCell ref="R9:S9"/>
    <mergeCell ref="R11:S11"/>
    <mergeCell ref="R25:S25"/>
    <mergeCell ref="E28:F28"/>
    <mergeCell ref="H28:H29"/>
    <mergeCell ref="I28:J28"/>
    <mergeCell ref="E29:F29"/>
    <mergeCell ref="R2:S2"/>
    <mergeCell ref="I3:I4"/>
    <mergeCell ref="R3:S4"/>
    <mergeCell ref="R5:S5"/>
    <mergeCell ref="A3:A4"/>
    <mergeCell ref="B3:B4"/>
  </mergeCells>
  <phoneticPr fontId="2"/>
  <pageMargins left="0.25" right="0.25" top="0.75" bottom="0.75" header="0.3" footer="0.3"/>
  <pageSetup paperSize="8" orientation="landscape"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T63"/>
  <sheetViews>
    <sheetView zoomScaleNormal="100" workbookViewId="0">
      <pane xSplit="1" topLeftCell="B1" activePane="topRight" state="frozen"/>
      <selection pane="topRight" activeCell="K23" sqref="K23"/>
    </sheetView>
  </sheetViews>
  <sheetFormatPr defaultRowHeight="13.5"/>
  <cols>
    <col min="1" max="1" width="10" style="3" customWidth="1"/>
    <col min="2" max="2" width="13.125" style="3" customWidth="1"/>
    <col min="3" max="3" width="9.75" style="3" hidden="1" customWidth="1"/>
    <col min="4" max="4" width="15" style="3" customWidth="1"/>
    <col min="5" max="6" width="10" style="3" customWidth="1"/>
    <col min="7" max="7" width="15" style="3" customWidth="1"/>
    <col min="8" max="8" width="13.125" style="3" customWidth="1"/>
    <col min="9" max="9" width="11.375" style="3" customWidth="1"/>
    <col min="10" max="11" width="10.375" style="3" customWidth="1"/>
    <col min="12" max="17" width="11.875" style="3" customWidth="1"/>
    <col min="18" max="19" width="10.625" style="3" customWidth="1"/>
    <col min="20" max="16384" width="9" style="3"/>
  </cols>
  <sheetData>
    <row r="1" spans="1:20" ht="20.25" customHeight="1">
      <c r="A1" s="2" t="s">
        <v>99</v>
      </c>
      <c r="F1" s="174"/>
      <c r="G1" s="9" t="s">
        <v>603</v>
      </c>
    </row>
    <row r="2" spans="1:20" ht="20.25" customHeight="1" thickBot="1">
      <c r="F2" s="175"/>
      <c r="G2" s="9" t="s">
        <v>610</v>
      </c>
      <c r="L2" s="121">
        <v>42825</v>
      </c>
      <c r="R2" s="243">
        <f ca="1">TODAY()</f>
        <v>42730</v>
      </c>
      <c r="S2" s="243"/>
    </row>
    <row r="3" spans="1:20" ht="24" customHeight="1">
      <c r="A3" s="246" t="s">
        <v>0</v>
      </c>
      <c r="B3" s="252" t="s">
        <v>566</v>
      </c>
      <c r="C3" s="4" t="s">
        <v>1</v>
      </c>
      <c r="D3" s="5" t="s">
        <v>2</v>
      </c>
      <c r="E3" s="6" t="s">
        <v>3</v>
      </c>
      <c r="F3" s="7" t="s">
        <v>4</v>
      </c>
      <c r="G3" s="8" t="s">
        <v>2</v>
      </c>
      <c r="H3" s="6" t="s">
        <v>5</v>
      </c>
      <c r="I3" s="244" t="s">
        <v>118</v>
      </c>
      <c r="J3" s="8" t="s">
        <v>119</v>
      </c>
      <c r="K3" s="5" t="s">
        <v>119</v>
      </c>
      <c r="L3" s="5" t="s">
        <v>120</v>
      </c>
      <c r="M3" s="6" t="s">
        <v>59</v>
      </c>
      <c r="N3" s="6" t="s">
        <v>57</v>
      </c>
      <c r="O3" s="7" t="s">
        <v>57</v>
      </c>
      <c r="P3" s="48" t="s">
        <v>57</v>
      </c>
      <c r="Q3" s="6" t="s">
        <v>57</v>
      </c>
      <c r="R3" s="246" t="s">
        <v>7</v>
      </c>
      <c r="S3" s="247"/>
      <c r="T3" s="9"/>
    </row>
    <row r="4" spans="1:20" ht="24" customHeight="1">
      <c r="A4" s="248"/>
      <c r="B4" s="253"/>
      <c r="C4" s="10" t="s">
        <v>8</v>
      </c>
      <c r="D4" s="11" t="s">
        <v>9</v>
      </c>
      <c r="E4" s="12" t="s">
        <v>10</v>
      </c>
      <c r="F4" s="13" t="s">
        <v>11</v>
      </c>
      <c r="G4" s="14" t="s">
        <v>12</v>
      </c>
      <c r="H4" s="12" t="s">
        <v>13</v>
      </c>
      <c r="I4" s="245"/>
      <c r="J4" s="14" t="s">
        <v>14</v>
      </c>
      <c r="K4" s="11" t="s">
        <v>6</v>
      </c>
      <c r="L4" s="11" t="s">
        <v>13</v>
      </c>
      <c r="M4" s="12" t="s">
        <v>60</v>
      </c>
      <c r="N4" s="12" t="s">
        <v>13</v>
      </c>
      <c r="O4" s="13" t="s">
        <v>58</v>
      </c>
      <c r="P4" s="49" t="s">
        <v>6</v>
      </c>
      <c r="Q4" s="12" t="s">
        <v>61</v>
      </c>
      <c r="R4" s="248"/>
      <c r="S4" s="249"/>
      <c r="T4" s="9"/>
    </row>
    <row r="5" spans="1:20" ht="24" customHeight="1">
      <c r="A5" s="15" t="s">
        <v>91</v>
      </c>
      <c r="B5" s="120">
        <v>41061</v>
      </c>
      <c r="C5" s="16">
        <v>1400</v>
      </c>
      <c r="D5" s="51">
        <v>41091</v>
      </c>
      <c r="E5" s="52">
        <v>25200</v>
      </c>
      <c r="F5" s="53">
        <v>24070</v>
      </c>
      <c r="G5" s="54">
        <v>41639</v>
      </c>
      <c r="H5" s="52" t="s">
        <v>15</v>
      </c>
      <c r="I5" s="53">
        <v>79800</v>
      </c>
      <c r="J5" s="55">
        <f>I5*K5</f>
        <v>78738.66</v>
      </c>
      <c r="K5" s="56">
        <v>0.98670000000000002</v>
      </c>
      <c r="L5" s="136" t="str">
        <f>DATEDIF(B5,$L$2,"y")&amp;"年"&amp;DATEDIF(B5,$L$2,"ym")&amp;"ヶ月"</f>
        <v>4年9ヶ月</v>
      </c>
      <c r="M5" s="58"/>
      <c r="N5" s="58"/>
      <c r="O5" s="53"/>
      <c r="P5" s="59"/>
      <c r="Q5" s="52">
        <f>O5*P5-F5</f>
        <v>-24070</v>
      </c>
      <c r="R5" s="250" t="s">
        <v>17</v>
      </c>
      <c r="S5" s="251"/>
    </row>
    <row r="6" spans="1:20" ht="24" customHeight="1">
      <c r="A6" s="15" t="s">
        <v>112</v>
      </c>
      <c r="B6" s="120">
        <v>41760</v>
      </c>
      <c r="C6" s="16">
        <v>1400</v>
      </c>
      <c r="D6" s="51" t="s">
        <v>28</v>
      </c>
      <c r="E6" s="52" t="s">
        <v>28</v>
      </c>
      <c r="F6" s="53" t="s">
        <v>28</v>
      </c>
      <c r="G6" s="54" t="s">
        <v>28</v>
      </c>
      <c r="H6" s="52" t="s">
        <v>28</v>
      </c>
      <c r="I6" s="53">
        <v>47600</v>
      </c>
      <c r="J6" s="55">
        <f t="shared" ref="J6:J29" si="0">I6*K6</f>
        <v>46467.119999999995</v>
      </c>
      <c r="K6" s="56">
        <v>0.97619999999999996</v>
      </c>
      <c r="L6" s="136" t="str">
        <f t="shared" ref="L6:L29" si="1">DATEDIF(B6,$L$2,"y")&amp;"年"&amp;DATEDIF(B6,$L$2,"ym")&amp;"ヶ月"</f>
        <v>2年10ヶ月</v>
      </c>
      <c r="M6" s="58"/>
      <c r="N6" s="58"/>
      <c r="O6" s="53"/>
      <c r="P6" s="59"/>
      <c r="Q6" s="52" t="e">
        <f t="shared" ref="Q6:Q21" si="2">O6*P6-F6</f>
        <v>#VALUE!</v>
      </c>
      <c r="R6" s="133" t="s">
        <v>23</v>
      </c>
      <c r="S6" s="134"/>
    </row>
    <row r="7" spans="1:20" ht="24" customHeight="1">
      <c r="A7" s="34" t="s">
        <v>55</v>
      </c>
      <c r="B7" s="169">
        <v>42095</v>
      </c>
      <c r="C7" s="35">
        <v>1400</v>
      </c>
      <c r="D7" s="36" t="s">
        <v>28</v>
      </c>
      <c r="E7" s="37" t="s">
        <v>28</v>
      </c>
      <c r="F7" s="38" t="s">
        <v>28</v>
      </c>
      <c r="G7" s="39" t="s">
        <v>28</v>
      </c>
      <c r="H7" s="37" t="s">
        <v>28</v>
      </c>
      <c r="I7" s="38">
        <v>19600</v>
      </c>
      <c r="J7" s="46">
        <f>I7*K7+180000</f>
        <v>198427.92</v>
      </c>
      <c r="K7" s="40">
        <v>0.94020000000000004</v>
      </c>
      <c r="L7" s="173" t="str">
        <f t="shared" si="1"/>
        <v>1年11ヶ月</v>
      </c>
      <c r="M7" s="41"/>
      <c r="N7" s="41"/>
      <c r="O7" s="38"/>
      <c r="P7" s="50"/>
      <c r="Q7" s="37" t="e">
        <f t="shared" si="2"/>
        <v>#VALUE!</v>
      </c>
      <c r="R7" s="157" t="s">
        <v>47</v>
      </c>
      <c r="S7" s="158"/>
    </row>
    <row r="8" spans="1:20" ht="24" customHeight="1">
      <c r="A8" s="15" t="s">
        <v>592</v>
      </c>
      <c r="B8" s="120">
        <v>42125</v>
      </c>
      <c r="C8" s="16">
        <v>1400</v>
      </c>
      <c r="D8" s="51" t="s">
        <v>28</v>
      </c>
      <c r="E8" s="52" t="s">
        <v>28</v>
      </c>
      <c r="F8" s="53" t="s">
        <v>28</v>
      </c>
      <c r="G8" s="54" t="s">
        <v>28</v>
      </c>
      <c r="H8" s="52" t="s">
        <v>28</v>
      </c>
      <c r="I8" s="53">
        <v>30800</v>
      </c>
      <c r="J8" s="55">
        <f t="shared" si="0"/>
        <v>29589.56</v>
      </c>
      <c r="K8" s="56">
        <v>0.9607</v>
      </c>
      <c r="L8" s="136" t="str">
        <f t="shared" si="1"/>
        <v>1年10ヶ月</v>
      </c>
      <c r="M8" s="58"/>
      <c r="N8" s="58"/>
      <c r="O8" s="53"/>
      <c r="P8" s="59"/>
      <c r="Q8" s="52" t="e">
        <f t="shared" si="2"/>
        <v>#VALUE!</v>
      </c>
      <c r="R8" s="133" t="s">
        <v>20</v>
      </c>
      <c r="S8" s="134"/>
    </row>
    <row r="9" spans="1:20" ht="24" customHeight="1">
      <c r="A9" s="15" t="s">
        <v>56</v>
      </c>
      <c r="B9" s="120">
        <v>42125</v>
      </c>
      <c r="C9" s="16">
        <v>1400</v>
      </c>
      <c r="D9" s="62" t="s">
        <v>28</v>
      </c>
      <c r="E9" s="52" t="s">
        <v>28</v>
      </c>
      <c r="F9" s="53" t="s">
        <v>28</v>
      </c>
      <c r="G9" s="63" t="s">
        <v>28</v>
      </c>
      <c r="H9" s="52" t="s">
        <v>28</v>
      </c>
      <c r="I9" s="53">
        <v>30800</v>
      </c>
      <c r="J9" s="55">
        <f t="shared" si="0"/>
        <v>29589.56</v>
      </c>
      <c r="K9" s="56">
        <v>0.9607</v>
      </c>
      <c r="L9" s="136" t="str">
        <f t="shared" si="1"/>
        <v>1年10ヶ月</v>
      </c>
      <c r="M9" s="58"/>
      <c r="N9" s="58"/>
      <c r="O9" s="53"/>
      <c r="P9" s="59"/>
      <c r="Q9" s="52" t="e">
        <f t="shared" si="2"/>
        <v>#VALUE!</v>
      </c>
      <c r="R9" s="250" t="s">
        <v>111</v>
      </c>
      <c r="S9" s="251"/>
    </row>
    <row r="10" spans="1:20" ht="24" customHeight="1">
      <c r="A10" s="15"/>
      <c r="B10" s="120"/>
      <c r="C10" s="16"/>
      <c r="D10" s="62"/>
      <c r="E10" s="52"/>
      <c r="F10" s="53"/>
      <c r="G10" s="63"/>
      <c r="H10" s="52"/>
      <c r="I10" s="53"/>
      <c r="J10" s="55"/>
      <c r="K10" s="56"/>
      <c r="L10" s="136"/>
      <c r="M10" s="122"/>
      <c r="N10" s="58"/>
      <c r="O10" s="53"/>
      <c r="P10" s="59"/>
      <c r="Q10" s="52"/>
      <c r="R10" s="133"/>
      <c r="S10" s="134"/>
    </row>
    <row r="11" spans="1:20" ht="24" customHeight="1">
      <c r="A11" s="140" t="s">
        <v>85</v>
      </c>
      <c r="B11" s="141">
        <v>40664</v>
      </c>
      <c r="C11" s="142">
        <v>1400</v>
      </c>
      <c r="D11" s="143">
        <v>40695</v>
      </c>
      <c r="E11" s="144">
        <v>43400</v>
      </c>
      <c r="F11" s="47">
        <v>42350</v>
      </c>
      <c r="G11" s="145">
        <v>41639</v>
      </c>
      <c r="H11" s="144" t="s">
        <v>19</v>
      </c>
      <c r="I11" s="47">
        <v>94600</v>
      </c>
      <c r="J11" s="146">
        <f t="shared" si="0"/>
        <v>93814.82</v>
      </c>
      <c r="K11" s="147">
        <v>0.99170000000000003</v>
      </c>
      <c r="L11" s="148" t="s">
        <v>66</v>
      </c>
      <c r="M11" s="149">
        <v>42626</v>
      </c>
      <c r="N11" s="149" t="s">
        <v>66</v>
      </c>
      <c r="O11" s="47">
        <v>94600</v>
      </c>
      <c r="P11" s="150">
        <v>0.99170000000000003</v>
      </c>
      <c r="Q11" s="144">
        <f>O11*P11-F11</f>
        <v>51464.820000000007</v>
      </c>
      <c r="R11" s="262" t="s">
        <v>117</v>
      </c>
      <c r="S11" s="263"/>
    </row>
    <row r="12" spans="1:20" ht="24" customHeight="1">
      <c r="A12" s="15"/>
      <c r="B12" s="120"/>
      <c r="C12" s="16"/>
      <c r="D12" s="51"/>
      <c r="E12" s="52"/>
      <c r="F12" s="64"/>
      <c r="G12" s="54"/>
      <c r="H12" s="52"/>
      <c r="I12" s="53"/>
      <c r="J12" s="55"/>
      <c r="K12" s="56"/>
      <c r="L12" s="136"/>
      <c r="M12" s="58"/>
      <c r="N12" s="58"/>
      <c r="O12" s="53"/>
      <c r="P12" s="59"/>
      <c r="Q12" s="52"/>
      <c r="R12" s="133"/>
      <c r="S12" s="134"/>
    </row>
    <row r="13" spans="1:20" ht="24" customHeight="1">
      <c r="A13" s="15" t="s">
        <v>38</v>
      </c>
      <c r="B13" s="120">
        <v>39173</v>
      </c>
      <c r="C13" s="16">
        <v>3400</v>
      </c>
      <c r="D13" s="51">
        <v>39539</v>
      </c>
      <c r="E13" s="52">
        <v>123800</v>
      </c>
      <c r="F13" s="64">
        <v>122990</v>
      </c>
      <c r="G13" s="54">
        <v>41729</v>
      </c>
      <c r="H13" s="52" t="s">
        <v>52</v>
      </c>
      <c r="I13" s="53">
        <v>250600</v>
      </c>
      <c r="J13" s="55">
        <f t="shared" si="0"/>
        <v>251401.92</v>
      </c>
      <c r="K13" s="56">
        <v>1.0032000000000001</v>
      </c>
      <c r="L13" s="136" t="str">
        <f t="shared" si="1"/>
        <v>9年11ヶ月</v>
      </c>
      <c r="M13" s="58"/>
      <c r="N13" s="58"/>
      <c r="O13" s="53"/>
      <c r="P13" s="59"/>
      <c r="Q13" s="52">
        <f t="shared" si="2"/>
        <v>-122990</v>
      </c>
      <c r="R13" s="133" t="s">
        <v>605</v>
      </c>
      <c r="S13" s="134"/>
    </row>
    <row r="14" spans="1:20" ht="24" customHeight="1">
      <c r="A14" s="140" t="s">
        <v>39</v>
      </c>
      <c r="B14" s="141">
        <v>38108</v>
      </c>
      <c r="C14" s="142">
        <v>4400</v>
      </c>
      <c r="D14" s="143">
        <v>38139</v>
      </c>
      <c r="E14" s="144">
        <v>247200</v>
      </c>
      <c r="F14" s="151">
        <v>249190</v>
      </c>
      <c r="G14" s="145">
        <v>41729</v>
      </c>
      <c r="H14" s="144" t="s">
        <v>49</v>
      </c>
      <c r="I14" s="47">
        <v>395800</v>
      </c>
      <c r="J14" s="146">
        <f t="shared" si="0"/>
        <v>400549.6</v>
      </c>
      <c r="K14" s="147">
        <v>1.012</v>
      </c>
      <c r="L14" s="148" t="s">
        <v>92</v>
      </c>
      <c r="M14" s="149">
        <v>42765</v>
      </c>
      <c r="N14" s="149" t="s">
        <v>92</v>
      </c>
      <c r="O14" s="47">
        <v>395800</v>
      </c>
      <c r="P14" s="150">
        <v>1.012</v>
      </c>
      <c r="Q14" s="144">
        <f t="shared" si="2"/>
        <v>151359.59999999998</v>
      </c>
      <c r="R14" s="152" t="s">
        <v>605</v>
      </c>
      <c r="S14" s="153"/>
    </row>
    <row r="15" spans="1:20" ht="24" customHeight="1">
      <c r="A15" s="15" t="s">
        <v>40</v>
      </c>
      <c r="B15" s="120">
        <v>38473</v>
      </c>
      <c r="C15" s="16">
        <v>4400</v>
      </c>
      <c r="D15" s="51">
        <v>38504</v>
      </c>
      <c r="E15" s="52">
        <v>206400</v>
      </c>
      <c r="F15" s="64">
        <v>207300</v>
      </c>
      <c r="G15" s="54">
        <v>41729</v>
      </c>
      <c r="H15" s="52" t="s">
        <v>50</v>
      </c>
      <c r="I15" s="53">
        <v>351800</v>
      </c>
      <c r="J15" s="55">
        <f t="shared" si="0"/>
        <v>355106.92000000004</v>
      </c>
      <c r="K15" s="56">
        <v>1.0094000000000001</v>
      </c>
      <c r="L15" s="136" t="str">
        <f t="shared" si="1"/>
        <v>11年10ヶ月</v>
      </c>
      <c r="M15" s="58"/>
      <c r="N15" s="58"/>
      <c r="O15" s="53"/>
      <c r="P15" s="59"/>
      <c r="Q15" s="52">
        <f t="shared" si="2"/>
        <v>-207300</v>
      </c>
      <c r="R15" s="133" t="s">
        <v>605</v>
      </c>
      <c r="S15" s="134"/>
    </row>
    <row r="16" spans="1:20" ht="24" customHeight="1">
      <c r="A16" s="15" t="s">
        <v>41</v>
      </c>
      <c r="B16" s="120">
        <v>38473</v>
      </c>
      <c r="C16" s="16">
        <v>4400</v>
      </c>
      <c r="D16" s="51">
        <v>38504</v>
      </c>
      <c r="E16" s="52">
        <v>206400</v>
      </c>
      <c r="F16" s="64">
        <v>207300</v>
      </c>
      <c r="G16" s="54">
        <v>41729</v>
      </c>
      <c r="H16" s="52" t="s">
        <v>50</v>
      </c>
      <c r="I16" s="53">
        <v>351800</v>
      </c>
      <c r="J16" s="55">
        <f t="shared" si="0"/>
        <v>355106.92000000004</v>
      </c>
      <c r="K16" s="56">
        <v>1.0094000000000001</v>
      </c>
      <c r="L16" s="136" t="str">
        <f t="shared" si="1"/>
        <v>11年10ヶ月</v>
      </c>
      <c r="M16" s="58"/>
      <c r="N16" s="58"/>
      <c r="O16" s="53"/>
      <c r="P16" s="59"/>
      <c r="Q16" s="52">
        <f t="shared" si="2"/>
        <v>-207300</v>
      </c>
      <c r="R16" s="133" t="s">
        <v>605</v>
      </c>
      <c r="S16" s="134"/>
    </row>
    <row r="17" spans="1:19" ht="24" customHeight="1">
      <c r="A17" s="15" t="s">
        <v>571</v>
      </c>
      <c r="B17" s="120">
        <v>41030</v>
      </c>
      <c r="C17" s="16">
        <v>1400</v>
      </c>
      <c r="D17" s="51">
        <v>41061</v>
      </c>
      <c r="E17" s="52">
        <v>30800</v>
      </c>
      <c r="F17" s="64">
        <v>29680</v>
      </c>
      <c r="G17" s="54">
        <v>41729</v>
      </c>
      <c r="H17" s="52" t="s">
        <v>51</v>
      </c>
      <c r="I17" s="53">
        <v>81200</v>
      </c>
      <c r="J17" s="55">
        <f t="shared" si="0"/>
        <v>80144.399999999994</v>
      </c>
      <c r="K17" s="56">
        <v>0.98699999999999999</v>
      </c>
      <c r="L17" s="136" t="str">
        <f t="shared" si="1"/>
        <v>4年10ヶ月</v>
      </c>
      <c r="M17" s="58"/>
      <c r="N17" s="58"/>
      <c r="O17" s="53"/>
      <c r="P17" s="59"/>
      <c r="Q17" s="52">
        <f t="shared" si="2"/>
        <v>-29680</v>
      </c>
      <c r="R17" s="133" t="s">
        <v>605</v>
      </c>
      <c r="S17" s="134"/>
    </row>
    <row r="18" spans="1:19" ht="24" customHeight="1">
      <c r="A18" s="15" t="s">
        <v>43</v>
      </c>
      <c r="B18" s="120">
        <v>41030</v>
      </c>
      <c r="C18" s="16">
        <v>1400</v>
      </c>
      <c r="D18" s="51">
        <v>41061</v>
      </c>
      <c r="E18" s="52">
        <v>30800</v>
      </c>
      <c r="F18" s="64">
        <v>29680</v>
      </c>
      <c r="G18" s="54">
        <v>41729</v>
      </c>
      <c r="H18" s="52" t="s">
        <v>51</v>
      </c>
      <c r="I18" s="53">
        <v>81200</v>
      </c>
      <c r="J18" s="55">
        <f t="shared" si="0"/>
        <v>80144.399999999994</v>
      </c>
      <c r="K18" s="56">
        <v>0.98699999999999999</v>
      </c>
      <c r="L18" s="136" t="str">
        <f t="shared" si="1"/>
        <v>4年10ヶ月</v>
      </c>
      <c r="M18" s="58"/>
      <c r="N18" s="58"/>
      <c r="O18" s="53"/>
      <c r="P18" s="59"/>
      <c r="Q18" s="52">
        <f t="shared" si="2"/>
        <v>-29680</v>
      </c>
      <c r="R18" s="133" t="s">
        <v>605</v>
      </c>
      <c r="S18" s="134"/>
    </row>
    <row r="19" spans="1:19" ht="24" customHeight="1">
      <c r="A19" s="15" t="s">
        <v>588</v>
      </c>
      <c r="B19" s="120">
        <v>41944</v>
      </c>
      <c r="C19" s="16">
        <v>1400</v>
      </c>
      <c r="D19" s="51" t="s">
        <v>28</v>
      </c>
      <c r="E19" s="52" t="s">
        <v>28</v>
      </c>
      <c r="F19" s="64" t="s">
        <v>28</v>
      </c>
      <c r="G19" s="54" t="s">
        <v>28</v>
      </c>
      <c r="H19" s="52" t="s">
        <v>28</v>
      </c>
      <c r="I19" s="53">
        <v>39200</v>
      </c>
      <c r="J19" s="55">
        <f t="shared" si="0"/>
        <v>38024</v>
      </c>
      <c r="K19" s="56">
        <v>0.97</v>
      </c>
      <c r="L19" s="136" t="str">
        <f t="shared" si="1"/>
        <v>2年4ヶ月</v>
      </c>
      <c r="M19" s="58"/>
      <c r="N19" s="58"/>
      <c r="O19" s="53"/>
      <c r="P19" s="59"/>
      <c r="Q19" s="52" t="e">
        <f t="shared" si="2"/>
        <v>#VALUE!</v>
      </c>
      <c r="R19" s="133" t="s">
        <v>605</v>
      </c>
      <c r="S19" s="134"/>
    </row>
    <row r="20" spans="1:19" ht="24" customHeight="1">
      <c r="A20" s="34" t="s">
        <v>79</v>
      </c>
      <c r="B20" s="169">
        <v>42186</v>
      </c>
      <c r="C20" s="35">
        <v>1400</v>
      </c>
      <c r="D20" s="36" t="s">
        <v>28</v>
      </c>
      <c r="E20" s="37" t="s">
        <v>28</v>
      </c>
      <c r="F20" s="170" t="s">
        <v>28</v>
      </c>
      <c r="G20" s="39" t="s">
        <v>28</v>
      </c>
      <c r="H20" s="37" t="s">
        <v>28</v>
      </c>
      <c r="I20" s="38">
        <v>19600</v>
      </c>
      <c r="J20" s="46">
        <f t="shared" si="0"/>
        <v>18427.920000000002</v>
      </c>
      <c r="K20" s="40">
        <v>0.94020000000000004</v>
      </c>
      <c r="L20" s="173" t="str">
        <f t="shared" si="1"/>
        <v>1年8ヶ月</v>
      </c>
      <c r="M20" s="41"/>
      <c r="N20" s="41"/>
      <c r="O20" s="38"/>
      <c r="P20" s="50"/>
      <c r="Q20" s="37" t="e">
        <f t="shared" si="2"/>
        <v>#VALUE!</v>
      </c>
      <c r="R20" s="157" t="s">
        <v>605</v>
      </c>
      <c r="S20" s="158"/>
    </row>
    <row r="21" spans="1:19" ht="24" customHeight="1">
      <c r="A21" s="15" t="s">
        <v>569</v>
      </c>
      <c r="B21" s="120">
        <v>42278</v>
      </c>
      <c r="C21" s="16"/>
      <c r="D21" s="51" t="s">
        <v>570</v>
      </c>
      <c r="E21" s="52" t="s">
        <v>570</v>
      </c>
      <c r="F21" s="64" t="s">
        <v>570</v>
      </c>
      <c r="G21" s="54" t="s">
        <v>570</v>
      </c>
      <c r="H21" s="52" t="s">
        <v>570</v>
      </c>
      <c r="I21" s="64">
        <v>23800</v>
      </c>
      <c r="J21" s="55">
        <f t="shared" si="0"/>
        <v>22560.02</v>
      </c>
      <c r="K21" s="56">
        <v>0.94789999999999996</v>
      </c>
      <c r="L21" s="136" t="str">
        <f t="shared" si="1"/>
        <v>1年5ヶ月</v>
      </c>
      <c r="M21" s="58"/>
      <c r="N21" s="58"/>
      <c r="O21" s="64"/>
      <c r="P21" s="59"/>
      <c r="Q21" s="52" t="e">
        <f t="shared" si="2"/>
        <v>#VALUE!</v>
      </c>
      <c r="R21" s="133" t="s">
        <v>605</v>
      </c>
      <c r="S21" s="134"/>
    </row>
    <row r="22" spans="1:19" ht="24" customHeight="1">
      <c r="A22" s="15" t="s">
        <v>584</v>
      </c>
      <c r="B22" s="120">
        <v>42491</v>
      </c>
      <c r="C22" s="16"/>
      <c r="D22" s="51" t="s">
        <v>28</v>
      </c>
      <c r="E22" s="52" t="s">
        <v>28</v>
      </c>
      <c r="F22" s="64" t="s">
        <v>28</v>
      </c>
      <c r="G22" s="54" t="s">
        <v>28</v>
      </c>
      <c r="H22" s="52" t="s">
        <v>28</v>
      </c>
      <c r="I22" s="64">
        <v>14000</v>
      </c>
      <c r="J22" s="55">
        <f t="shared" si="0"/>
        <v>10910.2</v>
      </c>
      <c r="K22" s="56">
        <v>0.77929999999999999</v>
      </c>
      <c r="L22" s="136" t="str">
        <f t="shared" si="1"/>
        <v>0年10ヶ月</v>
      </c>
      <c r="M22" s="58"/>
      <c r="N22" s="58"/>
      <c r="O22" s="64"/>
      <c r="P22" s="59"/>
      <c r="Q22" s="52"/>
      <c r="R22" s="138" t="s">
        <v>596</v>
      </c>
      <c r="S22" s="139"/>
    </row>
    <row r="23" spans="1:19" ht="24" customHeight="1">
      <c r="A23" s="34" t="s">
        <v>600</v>
      </c>
      <c r="B23" s="169">
        <v>42522</v>
      </c>
      <c r="C23" s="35"/>
      <c r="D23" s="36" t="s">
        <v>601</v>
      </c>
      <c r="E23" s="37" t="s">
        <v>601</v>
      </c>
      <c r="F23" s="170" t="s">
        <v>601</v>
      </c>
      <c r="G23" s="39" t="s">
        <v>601</v>
      </c>
      <c r="H23" s="37" t="s">
        <v>601</v>
      </c>
      <c r="I23" s="170">
        <v>2800</v>
      </c>
      <c r="J23" s="46">
        <v>2800</v>
      </c>
      <c r="K23" s="172" t="s">
        <v>601</v>
      </c>
      <c r="L23" s="173" t="str">
        <f t="shared" si="1"/>
        <v>0年9ヶ月</v>
      </c>
      <c r="M23" s="41"/>
      <c r="N23" s="41"/>
      <c r="O23" s="170"/>
      <c r="P23" s="50"/>
      <c r="Q23" s="37"/>
      <c r="R23" s="157" t="s">
        <v>602</v>
      </c>
      <c r="S23" s="158"/>
    </row>
    <row r="24" spans="1:19" ht="24" customHeight="1">
      <c r="A24" s="15" t="s">
        <v>585</v>
      </c>
      <c r="B24" s="120">
        <v>42522</v>
      </c>
      <c r="C24" s="16"/>
      <c r="D24" s="51" t="s">
        <v>28</v>
      </c>
      <c r="E24" s="52" t="s">
        <v>28</v>
      </c>
      <c r="F24" s="64" t="s">
        <v>28</v>
      </c>
      <c r="G24" s="54" t="s">
        <v>28</v>
      </c>
      <c r="H24" s="52" t="s">
        <v>28</v>
      </c>
      <c r="I24" s="64">
        <v>12600</v>
      </c>
      <c r="J24" s="55">
        <f t="shared" si="0"/>
        <v>8836.380000000001</v>
      </c>
      <c r="K24" s="56">
        <v>0.70130000000000003</v>
      </c>
      <c r="L24" s="136" t="str">
        <f t="shared" si="1"/>
        <v>0年9ヶ月</v>
      </c>
      <c r="M24" s="58"/>
      <c r="N24" s="58"/>
      <c r="O24" s="64"/>
      <c r="P24" s="59"/>
      <c r="Q24" s="52"/>
      <c r="R24" s="138" t="s">
        <v>593</v>
      </c>
      <c r="S24" s="139"/>
    </row>
    <row r="25" spans="1:19" ht="24" customHeight="1">
      <c r="A25" s="15" t="s">
        <v>586</v>
      </c>
      <c r="B25" s="120">
        <v>42552</v>
      </c>
      <c r="C25" s="16"/>
      <c r="D25" s="51" t="s">
        <v>28</v>
      </c>
      <c r="E25" s="52" t="s">
        <v>28</v>
      </c>
      <c r="F25" s="64" t="s">
        <v>28</v>
      </c>
      <c r="G25" s="54" t="s">
        <v>28</v>
      </c>
      <c r="H25" s="52" t="s">
        <v>28</v>
      </c>
      <c r="I25" s="64">
        <v>11200</v>
      </c>
      <c r="J25" s="55">
        <f t="shared" si="0"/>
        <v>6982.08</v>
      </c>
      <c r="K25" s="56">
        <v>0.62339999999999995</v>
      </c>
      <c r="L25" s="136" t="str">
        <f t="shared" si="1"/>
        <v>0年8ヶ月</v>
      </c>
      <c r="M25" s="58"/>
      <c r="N25" s="58"/>
      <c r="O25" s="64"/>
      <c r="P25" s="59"/>
      <c r="Q25" s="52"/>
      <c r="R25" s="138" t="s">
        <v>594</v>
      </c>
      <c r="S25" s="139"/>
    </row>
    <row r="26" spans="1:19" ht="24" customHeight="1">
      <c r="A26" s="15" t="s">
        <v>587</v>
      </c>
      <c r="B26" s="120">
        <v>42552</v>
      </c>
      <c r="C26" s="16"/>
      <c r="D26" s="51" t="s">
        <v>28</v>
      </c>
      <c r="E26" s="52" t="s">
        <v>28</v>
      </c>
      <c r="F26" s="64" t="s">
        <v>28</v>
      </c>
      <c r="G26" s="54" t="s">
        <v>28</v>
      </c>
      <c r="H26" s="52" t="s">
        <v>28</v>
      </c>
      <c r="I26" s="64">
        <v>11200</v>
      </c>
      <c r="J26" s="55">
        <f t="shared" si="0"/>
        <v>6982.08</v>
      </c>
      <c r="K26" s="56">
        <v>0.62339999999999995</v>
      </c>
      <c r="L26" s="136" t="str">
        <f t="shared" si="1"/>
        <v>0年8ヶ月</v>
      </c>
      <c r="M26" s="58"/>
      <c r="N26" s="58"/>
      <c r="O26" s="64"/>
      <c r="P26" s="59"/>
      <c r="Q26" s="52"/>
      <c r="R26" s="138" t="s">
        <v>593</v>
      </c>
      <c r="S26" s="139"/>
    </row>
    <row r="27" spans="1:19" ht="24" customHeight="1">
      <c r="A27" s="15" t="s">
        <v>591</v>
      </c>
      <c r="B27" s="120">
        <v>42675</v>
      </c>
      <c r="C27" s="16"/>
      <c r="D27" s="51" t="s">
        <v>28</v>
      </c>
      <c r="E27" s="52" t="s">
        <v>28</v>
      </c>
      <c r="F27" s="64" t="s">
        <v>28</v>
      </c>
      <c r="G27" s="54" t="s">
        <v>28</v>
      </c>
      <c r="H27" s="52" t="s">
        <v>28</v>
      </c>
      <c r="I27" s="64">
        <v>5600</v>
      </c>
      <c r="J27" s="55">
        <f t="shared" si="0"/>
        <v>1745.52</v>
      </c>
      <c r="K27" s="56">
        <v>0.31169999999999998</v>
      </c>
      <c r="L27" s="136" t="str">
        <f t="shared" si="1"/>
        <v>0年4ヶ月</v>
      </c>
      <c r="M27" s="58"/>
      <c r="N27" s="58"/>
      <c r="O27" s="64"/>
      <c r="P27" s="59"/>
      <c r="Q27" s="52"/>
      <c r="R27" s="138" t="s">
        <v>595</v>
      </c>
      <c r="S27" s="139"/>
    </row>
    <row r="28" spans="1:19" ht="24" customHeight="1">
      <c r="A28" s="15" t="s">
        <v>589</v>
      </c>
      <c r="B28" s="120">
        <v>42675</v>
      </c>
      <c r="C28" s="16"/>
      <c r="D28" s="51" t="s">
        <v>28</v>
      </c>
      <c r="E28" s="52" t="s">
        <v>28</v>
      </c>
      <c r="F28" s="64" t="s">
        <v>28</v>
      </c>
      <c r="G28" s="54" t="s">
        <v>28</v>
      </c>
      <c r="H28" s="52" t="s">
        <v>28</v>
      </c>
      <c r="I28" s="64">
        <v>5600</v>
      </c>
      <c r="J28" s="55">
        <f t="shared" si="0"/>
        <v>1745.52</v>
      </c>
      <c r="K28" s="56">
        <v>0.31169999999999998</v>
      </c>
      <c r="L28" s="136" t="str">
        <f t="shared" si="1"/>
        <v>0年4ヶ月</v>
      </c>
      <c r="M28" s="58"/>
      <c r="N28" s="58"/>
      <c r="O28" s="64"/>
      <c r="P28" s="59"/>
      <c r="Q28" s="52"/>
      <c r="R28" s="138" t="s">
        <v>596</v>
      </c>
      <c r="S28" s="139"/>
    </row>
    <row r="29" spans="1:19" ht="24" customHeight="1">
      <c r="A29" s="15" t="s">
        <v>590</v>
      </c>
      <c r="B29" s="120">
        <v>42705</v>
      </c>
      <c r="C29" s="16"/>
      <c r="D29" s="51" t="s">
        <v>28</v>
      </c>
      <c r="E29" s="52" t="s">
        <v>28</v>
      </c>
      <c r="F29" s="64" t="s">
        <v>28</v>
      </c>
      <c r="G29" s="54" t="s">
        <v>28</v>
      </c>
      <c r="H29" s="52" t="s">
        <v>28</v>
      </c>
      <c r="I29" s="64">
        <v>4200</v>
      </c>
      <c r="J29" s="55">
        <f t="shared" si="0"/>
        <v>981.96</v>
      </c>
      <c r="K29" s="56">
        <v>0.23380000000000001</v>
      </c>
      <c r="L29" s="136" t="str">
        <f t="shared" si="1"/>
        <v>0年3ヶ月</v>
      </c>
      <c r="M29" s="58"/>
      <c r="N29" s="58"/>
      <c r="O29" s="64"/>
      <c r="P29" s="59"/>
      <c r="Q29" s="52"/>
      <c r="R29" s="138" t="s">
        <v>596</v>
      </c>
      <c r="S29" s="139"/>
    </row>
    <row r="30" spans="1:19" ht="24" customHeight="1">
      <c r="A30" s="15"/>
      <c r="B30" s="120"/>
      <c r="C30" s="16"/>
      <c r="D30" s="51"/>
      <c r="E30" s="52"/>
      <c r="F30" s="64"/>
      <c r="G30" s="54"/>
      <c r="H30" s="52"/>
      <c r="I30" s="64"/>
      <c r="J30" s="55"/>
      <c r="K30" s="56"/>
      <c r="L30" s="136"/>
      <c r="M30" s="58"/>
      <c r="N30" s="58"/>
      <c r="O30" s="64"/>
      <c r="P30" s="59"/>
      <c r="Q30" s="52"/>
      <c r="R30" s="138"/>
      <c r="S30" s="139"/>
    </row>
    <row r="31" spans="1:19" ht="24" customHeight="1">
      <c r="A31" s="15"/>
      <c r="B31" s="120"/>
      <c r="C31" s="16"/>
      <c r="D31" s="51"/>
      <c r="E31" s="52"/>
      <c r="F31" s="64"/>
      <c r="G31" s="54"/>
      <c r="H31" s="52"/>
      <c r="I31" s="64"/>
      <c r="J31" s="55"/>
      <c r="K31" s="56"/>
      <c r="L31" s="136"/>
      <c r="M31" s="58"/>
      <c r="N31" s="58"/>
      <c r="O31" s="64"/>
      <c r="P31" s="59"/>
      <c r="Q31" s="52"/>
      <c r="R31" s="138"/>
      <c r="S31" s="139"/>
    </row>
    <row r="32" spans="1:19" ht="24" customHeight="1">
      <c r="A32" s="15"/>
      <c r="B32" s="120"/>
      <c r="C32" s="16"/>
      <c r="D32" s="51"/>
      <c r="E32" s="52"/>
      <c r="F32" s="64"/>
      <c r="G32" s="54"/>
      <c r="H32" s="52"/>
      <c r="I32" s="64"/>
      <c r="J32" s="55"/>
      <c r="K32" s="56"/>
      <c r="L32" s="136"/>
      <c r="M32" s="58"/>
      <c r="N32" s="58"/>
      <c r="O32" s="64"/>
      <c r="P32" s="59"/>
      <c r="Q32" s="52"/>
      <c r="R32" s="138"/>
      <c r="S32" s="139"/>
    </row>
    <row r="33" spans="1:19" ht="24" customHeight="1">
      <c r="A33" s="15"/>
      <c r="B33" s="120"/>
      <c r="C33" s="16"/>
      <c r="D33" s="51"/>
      <c r="E33" s="52"/>
      <c r="F33" s="64"/>
      <c r="G33" s="54"/>
      <c r="H33" s="52"/>
      <c r="I33" s="64"/>
      <c r="J33" s="55"/>
      <c r="K33" s="56"/>
      <c r="L33" s="136"/>
      <c r="M33" s="58"/>
      <c r="N33" s="58"/>
      <c r="O33" s="64"/>
      <c r="P33" s="59"/>
      <c r="Q33" s="52"/>
      <c r="R33" s="138"/>
      <c r="S33" s="139"/>
    </row>
    <row r="34" spans="1:19" ht="24" customHeight="1" thickBot="1">
      <c r="A34" s="17" t="s">
        <v>597</v>
      </c>
      <c r="B34" s="120"/>
      <c r="C34" s="15"/>
      <c r="D34" s="62"/>
      <c r="E34" s="52"/>
      <c r="F34" s="65">
        <f>SUM(F5:F33)</f>
        <v>912560</v>
      </c>
      <c r="G34" s="63"/>
      <c r="H34" s="52"/>
      <c r="I34" s="65">
        <f>SUM(I5:I33)</f>
        <v>1965400</v>
      </c>
      <c r="J34" s="55">
        <f>SUM(J5:J33)</f>
        <v>2119077.48</v>
      </c>
      <c r="K34" s="66"/>
      <c r="L34" s="57"/>
      <c r="M34" s="52"/>
      <c r="N34" s="52"/>
      <c r="O34" s="65"/>
      <c r="P34" s="67"/>
      <c r="Q34" s="52"/>
      <c r="R34" s="250"/>
      <c r="S34" s="251"/>
    </row>
    <row r="35" spans="1:19">
      <c r="B35" s="18"/>
      <c r="C35" s="18"/>
      <c r="H35" s="52" t="s">
        <v>582</v>
      </c>
      <c r="I35" s="137">
        <f>I34-Ｈ27年度末退職金!I25</f>
        <v>395600</v>
      </c>
      <c r="J35" s="177">
        <f>J34-Ｈ27年度末退職金!J25</f>
        <v>573746.1399999999</v>
      </c>
    </row>
    <row r="36" spans="1:19">
      <c r="B36" s="1"/>
      <c r="C36" s="32"/>
    </row>
    <row r="37" spans="1:19">
      <c r="B37" s="1"/>
      <c r="C37" s="32"/>
      <c r="D37" s="168"/>
      <c r="E37" s="264"/>
      <c r="F37" s="264"/>
      <c r="H37" s="258"/>
      <c r="I37" s="260" t="s">
        <v>86</v>
      </c>
      <c r="J37" s="260"/>
      <c r="K37" s="24" t="s">
        <v>87</v>
      </c>
      <c r="L37" s="27" t="s">
        <v>67</v>
      </c>
      <c r="M37" s="27" t="s">
        <v>88</v>
      </c>
      <c r="N37" s="27" t="s">
        <v>67</v>
      </c>
      <c r="O37" s="24"/>
      <c r="P37" s="27" t="s">
        <v>87</v>
      </c>
      <c r="Q37" s="28" t="s">
        <v>89</v>
      </c>
      <c r="R37" s="27" t="s">
        <v>87</v>
      </c>
    </row>
    <row r="38" spans="1:19">
      <c r="B38" s="1"/>
      <c r="C38" s="32"/>
      <c r="D38" s="167"/>
      <c r="E38" s="261"/>
      <c r="F38" s="261"/>
      <c r="G38" s="22"/>
      <c r="H38" s="259"/>
      <c r="I38" s="23" t="s">
        <v>67</v>
      </c>
      <c r="J38" s="23" t="s">
        <v>98</v>
      </c>
      <c r="K38" s="25" t="s">
        <v>68</v>
      </c>
      <c r="L38" s="25" t="s">
        <v>68</v>
      </c>
      <c r="M38" s="25" t="s">
        <v>68</v>
      </c>
      <c r="N38" s="25" t="s">
        <v>68</v>
      </c>
      <c r="O38" s="25" t="s">
        <v>98</v>
      </c>
      <c r="P38" s="25" t="s">
        <v>6</v>
      </c>
      <c r="Q38" s="25" t="s">
        <v>90</v>
      </c>
      <c r="R38" s="25" t="s">
        <v>93</v>
      </c>
    </row>
    <row r="39" spans="1:19">
      <c r="B39" s="1"/>
      <c r="C39" s="32"/>
      <c r="D39" s="167"/>
      <c r="E39" s="261"/>
      <c r="F39" s="261"/>
      <c r="G39" s="22"/>
      <c r="H39" s="26" t="s">
        <v>85</v>
      </c>
      <c r="I39" s="135">
        <v>5</v>
      </c>
      <c r="J39" s="135">
        <v>4</v>
      </c>
      <c r="K39" s="68">
        <f t="shared" ref="K39:K40" si="3">(L39+((M39-N39)*O39/12))*P39</f>
        <v>93814.82</v>
      </c>
      <c r="L39" s="68">
        <v>85000</v>
      </c>
      <c r="M39" s="68">
        <v>113800</v>
      </c>
      <c r="N39" s="68">
        <v>85000</v>
      </c>
      <c r="O39" s="69">
        <v>4</v>
      </c>
      <c r="P39" s="70">
        <v>0.99170000000000003</v>
      </c>
      <c r="Q39" s="68">
        <v>42350</v>
      </c>
      <c r="R39" s="71">
        <f t="shared" ref="R39:R40" si="4">K39-Q39</f>
        <v>51464.820000000007</v>
      </c>
    </row>
    <row r="40" spans="1:19">
      <c r="B40" s="1"/>
      <c r="C40" s="32"/>
      <c r="D40" s="167"/>
      <c r="E40" s="261"/>
      <c r="F40" s="261"/>
      <c r="G40" s="22"/>
      <c r="H40" s="29" t="s">
        <v>39</v>
      </c>
      <c r="I40" s="135">
        <v>12</v>
      </c>
      <c r="J40" s="135">
        <v>8</v>
      </c>
      <c r="K40" s="68">
        <f t="shared" si="3"/>
        <v>400549.6</v>
      </c>
      <c r="L40" s="68">
        <v>360600</v>
      </c>
      <c r="M40" s="68">
        <v>413400</v>
      </c>
      <c r="N40" s="68">
        <v>360600</v>
      </c>
      <c r="O40" s="69">
        <v>8</v>
      </c>
      <c r="P40" s="70">
        <v>1.012</v>
      </c>
      <c r="Q40" s="71">
        <v>249190</v>
      </c>
      <c r="R40" s="71">
        <f t="shared" si="4"/>
        <v>151359.59999999998</v>
      </c>
    </row>
    <row r="41" spans="1:19">
      <c r="B41" s="1"/>
      <c r="C41" s="32"/>
      <c r="D41" s="167"/>
      <c r="E41" s="261"/>
      <c r="F41" s="261"/>
      <c r="G41" s="31"/>
      <c r="H41" s="21"/>
      <c r="I41" s="30" t="s">
        <v>95</v>
      </c>
      <c r="K41" s="19"/>
      <c r="L41" s="19"/>
      <c r="M41" s="19"/>
      <c r="N41" s="19"/>
      <c r="Q41" s="20"/>
    </row>
    <row r="42" spans="1:19">
      <c r="B42" s="1"/>
      <c r="C42" s="32"/>
      <c r="H42" s="21"/>
      <c r="I42" s="30" t="s">
        <v>94</v>
      </c>
      <c r="K42" s="19"/>
      <c r="L42" s="19"/>
      <c r="M42" s="19"/>
      <c r="N42" s="19"/>
      <c r="Q42" s="20"/>
    </row>
    <row r="43" spans="1:19">
      <c r="B43" s="1"/>
      <c r="C43" s="32"/>
      <c r="D43" s="92"/>
      <c r="E43" s="93"/>
      <c r="F43" s="93"/>
      <c r="G43" s="1"/>
      <c r="I43" s="30" t="s">
        <v>97</v>
      </c>
      <c r="K43" s="19"/>
      <c r="L43" s="19"/>
      <c r="M43" s="19"/>
      <c r="N43" s="19"/>
      <c r="Q43" s="20"/>
    </row>
    <row r="44" spans="1:19">
      <c r="B44" s="1"/>
      <c r="C44" s="32"/>
      <c r="D44" s="94"/>
      <c r="E44" s="32"/>
      <c r="G44" s="1"/>
      <c r="I44" s="30" t="s">
        <v>96</v>
      </c>
      <c r="K44" s="19"/>
      <c r="L44" s="19"/>
      <c r="M44" s="19"/>
      <c r="N44" s="19"/>
      <c r="Q44" s="20"/>
    </row>
    <row r="45" spans="1:19">
      <c r="B45" s="1"/>
      <c r="C45" s="32"/>
      <c r="D45" s="94"/>
      <c r="E45" s="32"/>
      <c r="G45" s="1"/>
      <c r="I45" s="118" t="s">
        <v>114</v>
      </c>
      <c r="K45" s="19"/>
      <c r="Q45" s="20"/>
    </row>
    <row r="46" spans="1:19">
      <c r="B46" s="1"/>
      <c r="C46" s="32"/>
      <c r="D46" s="94"/>
      <c r="E46" s="32"/>
      <c r="F46" s="32"/>
      <c r="G46" s="1"/>
      <c r="H46" s="33"/>
      <c r="I46" s="123" t="s">
        <v>579</v>
      </c>
      <c r="J46" s="33"/>
      <c r="K46" s="19"/>
      <c r="Q46" s="20"/>
    </row>
    <row r="47" spans="1:19">
      <c r="B47" s="1"/>
      <c r="C47" s="32"/>
      <c r="D47" s="91"/>
      <c r="E47" s="32"/>
      <c r="G47" s="1"/>
      <c r="H47" s="118"/>
      <c r="I47" s="118" t="s">
        <v>580</v>
      </c>
      <c r="J47" s="118"/>
      <c r="K47" s="1"/>
      <c r="L47" s="117"/>
      <c r="M47" s="117"/>
      <c r="N47" s="117"/>
      <c r="O47" s="1"/>
      <c r="P47" s="117"/>
      <c r="Q47" s="83"/>
      <c r="R47" s="117"/>
    </row>
    <row r="48" spans="1:19">
      <c r="B48" s="1"/>
      <c r="C48" s="32"/>
      <c r="G48" s="1"/>
      <c r="H48" s="118"/>
      <c r="I48" s="78"/>
      <c r="J48" s="119"/>
      <c r="K48" s="84"/>
      <c r="L48" s="84"/>
      <c r="M48" s="84"/>
      <c r="N48" s="84"/>
      <c r="O48" s="84"/>
      <c r="P48" s="84"/>
      <c r="Q48" s="84"/>
      <c r="R48" s="84"/>
    </row>
    <row r="49" spans="2:18">
      <c r="B49" s="1"/>
      <c r="C49" s="32">
        <f>C48+4400*12</f>
        <v>52800</v>
      </c>
      <c r="G49" s="1"/>
      <c r="H49" s="21"/>
      <c r="I49" s="78"/>
      <c r="J49" s="78"/>
      <c r="K49" s="85"/>
      <c r="L49" s="85"/>
      <c r="M49" s="85"/>
      <c r="N49" s="85"/>
      <c r="O49" s="86"/>
      <c r="P49" s="87"/>
      <c r="Q49" s="85"/>
      <c r="R49" s="88"/>
    </row>
    <row r="50" spans="2:18">
      <c r="B50" s="1"/>
      <c r="C50" s="32">
        <f>C49+4400*12</f>
        <v>105600</v>
      </c>
      <c r="G50" s="1"/>
      <c r="H50" s="89"/>
      <c r="I50" s="78"/>
      <c r="J50" s="78"/>
      <c r="K50" s="85"/>
      <c r="L50" s="85"/>
      <c r="M50" s="85"/>
      <c r="N50" s="85"/>
      <c r="O50" s="86"/>
      <c r="P50" s="87"/>
      <c r="Q50" s="88"/>
      <c r="R50" s="88"/>
    </row>
    <row r="51" spans="2:18">
      <c r="B51" s="1"/>
      <c r="C51" s="32">
        <f>C50+4400*12</f>
        <v>158400</v>
      </c>
      <c r="G51" s="1"/>
      <c r="H51" s="21"/>
      <c r="I51" s="78"/>
      <c r="J51" s="78"/>
      <c r="K51" s="85"/>
      <c r="L51" s="85"/>
      <c r="M51" s="85"/>
      <c r="N51" s="85"/>
      <c r="O51" s="90"/>
      <c r="P51" s="87"/>
      <c r="Q51" s="88"/>
      <c r="R51" s="88"/>
    </row>
    <row r="52" spans="2:18">
      <c r="B52" s="1"/>
      <c r="C52" s="32">
        <f>C51+4400*12</f>
        <v>211200</v>
      </c>
      <c r="G52" s="1"/>
      <c r="H52" s="78"/>
      <c r="I52" s="78"/>
      <c r="J52" s="33"/>
    </row>
    <row r="53" spans="2:18">
      <c r="B53" s="1"/>
      <c r="C53" s="32">
        <f>C52+4400*12</f>
        <v>264000</v>
      </c>
      <c r="G53" s="1"/>
      <c r="H53" s="78"/>
      <c r="I53" s="1"/>
    </row>
    <row r="54" spans="2:18">
      <c r="G54" s="77"/>
      <c r="H54" s="33"/>
      <c r="I54" s="1"/>
    </row>
    <row r="55" spans="2:18">
      <c r="G55" s="77"/>
      <c r="H55" s="33"/>
      <c r="I55" s="1"/>
    </row>
    <row r="56" spans="2:18">
      <c r="G56" s="77"/>
      <c r="H56" s="78"/>
      <c r="I56" s="1"/>
    </row>
    <row r="57" spans="2:18">
      <c r="H57" s="78"/>
    </row>
    <row r="58" spans="2:18">
      <c r="H58" s="78"/>
    </row>
    <row r="59" spans="2:18">
      <c r="H59" s="79"/>
    </row>
    <row r="60" spans="2:18">
      <c r="H60" s="78"/>
    </row>
    <row r="61" spans="2:18">
      <c r="H61" s="78"/>
    </row>
    <row r="62" spans="2:18">
      <c r="H62" s="78"/>
    </row>
    <row r="63" spans="2:18">
      <c r="H63" s="78"/>
    </row>
  </sheetData>
  <mergeCells count="16">
    <mergeCell ref="R5:S5"/>
    <mergeCell ref="R2:S2"/>
    <mergeCell ref="A3:A4"/>
    <mergeCell ref="B3:B4"/>
    <mergeCell ref="I3:I4"/>
    <mergeCell ref="R3:S4"/>
    <mergeCell ref="E39:F39"/>
    <mergeCell ref="E40:F40"/>
    <mergeCell ref="E41:F41"/>
    <mergeCell ref="R9:S9"/>
    <mergeCell ref="R11:S11"/>
    <mergeCell ref="R34:S34"/>
    <mergeCell ref="E37:F37"/>
    <mergeCell ref="H37:H38"/>
    <mergeCell ref="I37:J37"/>
    <mergeCell ref="E38:F38"/>
  </mergeCells>
  <phoneticPr fontId="2"/>
  <pageMargins left="0.25" right="0.25" top="0.75" bottom="0.75" header="0.3" footer="0.3"/>
  <pageSetup paperSize="8" scale="78" orientation="landscape"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T57"/>
  <sheetViews>
    <sheetView zoomScaleNormal="100" workbookViewId="0">
      <pane xSplit="1" topLeftCell="B1" activePane="topRight" state="frozen"/>
      <selection pane="topRight" activeCell="I24" sqref="I24"/>
    </sheetView>
  </sheetViews>
  <sheetFormatPr defaultRowHeight="13.5"/>
  <cols>
    <col min="1" max="1" width="10" style="3" customWidth="1"/>
    <col min="2" max="2" width="13.125" style="3" customWidth="1"/>
    <col min="3" max="3" width="9.75" style="3" hidden="1" customWidth="1"/>
    <col min="4" max="4" width="15" style="3" customWidth="1"/>
    <col min="5" max="6" width="10" style="3" customWidth="1"/>
    <col min="7" max="7" width="15" style="3" customWidth="1"/>
    <col min="8" max="8" width="13.125" style="3" customWidth="1"/>
    <col min="9" max="9" width="11.375" style="3" customWidth="1"/>
    <col min="10" max="11" width="10.375" style="3" customWidth="1"/>
    <col min="12" max="17" width="11.875" style="3" customWidth="1"/>
    <col min="18" max="19" width="10.625" style="3" customWidth="1"/>
    <col min="20" max="16384" width="9" style="3"/>
  </cols>
  <sheetData>
    <row r="1" spans="1:20" ht="20.25" customHeight="1">
      <c r="A1" s="2" t="s">
        <v>99</v>
      </c>
      <c r="F1" s="174"/>
      <c r="G1" s="9" t="s">
        <v>603</v>
      </c>
    </row>
    <row r="2" spans="1:20" ht="20.25" customHeight="1" thickBot="1">
      <c r="F2" s="175"/>
      <c r="G2" s="9" t="s">
        <v>610</v>
      </c>
      <c r="L2" s="121">
        <v>43190</v>
      </c>
      <c r="R2" s="243">
        <f ca="1">TODAY()</f>
        <v>42730</v>
      </c>
      <c r="S2" s="243"/>
    </row>
    <row r="3" spans="1:20" ht="24" customHeight="1">
      <c r="A3" s="246" t="s">
        <v>0</v>
      </c>
      <c r="B3" s="252" t="s">
        <v>566</v>
      </c>
      <c r="C3" s="4" t="s">
        <v>1</v>
      </c>
      <c r="D3" s="5" t="s">
        <v>2</v>
      </c>
      <c r="E3" s="6" t="s">
        <v>3</v>
      </c>
      <c r="F3" s="7" t="s">
        <v>4</v>
      </c>
      <c r="G3" s="8" t="s">
        <v>2</v>
      </c>
      <c r="H3" s="6" t="s">
        <v>5</v>
      </c>
      <c r="I3" s="244" t="s">
        <v>573</v>
      </c>
      <c r="J3" s="8" t="s">
        <v>574</v>
      </c>
      <c r="K3" s="5" t="s">
        <v>574</v>
      </c>
      <c r="L3" s="5" t="s">
        <v>575</v>
      </c>
      <c r="M3" s="6" t="s">
        <v>59</v>
      </c>
      <c r="N3" s="6" t="s">
        <v>57</v>
      </c>
      <c r="O3" s="7" t="s">
        <v>57</v>
      </c>
      <c r="P3" s="48" t="s">
        <v>57</v>
      </c>
      <c r="Q3" s="6" t="s">
        <v>57</v>
      </c>
      <c r="R3" s="246" t="s">
        <v>7</v>
      </c>
      <c r="S3" s="247"/>
      <c r="T3" s="9"/>
    </row>
    <row r="4" spans="1:20" ht="24" customHeight="1">
      <c r="A4" s="248"/>
      <c r="B4" s="253"/>
      <c r="C4" s="10" t="s">
        <v>8</v>
      </c>
      <c r="D4" s="11" t="s">
        <v>9</v>
      </c>
      <c r="E4" s="12" t="s">
        <v>10</v>
      </c>
      <c r="F4" s="13" t="s">
        <v>11</v>
      </c>
      <c r="G4" s="14" t="s">
        <v>12</v>
      </c>
      <c r="H4" s="12" t="s">
        <v>13</v>
      </c>
      <c r="I4" s="245"/>
      <c r="J4" s="14" t="s">
        <v>14</v>
      </c>
      <c r="K4" s="11" t="s">
        <v>6</v>
      </c>
      <c r="L4" s="11" t="s">
        <v>13</v>
      </c>
      <c r="M4" s="12" t="s">
        <v>60</v>
      </c>
      <c r="N4" s="12" t="s">
        <v>13</v>
      </c>
      <c r="O4" s="13" t="s">
        <v>58</v>
      </c>
      <c r="P4" s="49" t="s">
        <v>6</v>
      </c>
      <c r="Q4" s="12" t="s">
        <v>61</v>
      </c>
      <c r="R4" s="248"/>
      <c r="S4" s="249"/>
      <c r="T4" s="9"/>
    </row>
    <row r="5" spans="1:20" ht="24" customHeight="1">
      <c r="A5" s="15" t="s">
        <v>91</v>
      </c>
      <c r="B5" s="120">
        <v>41061</v>
      </c>
      <c r="C5" s="16">
        <v>1400</v>
      </c>
      <c r="D5" s="51">
        <v>41091</v>
      </c>
      <c r="E5" s="52">
        <v>25200</v>
      </c>
      <c r="F5" s="53">
        <v>24070</v>
      </c>
      <c r="G5" s="54">
        <v>41639</v>
      </c>
      <c r="H5" s="52" t="s">
        <v>15</v>
      </c>
      <c r="I5" s="53">
        <v>106600</v>
      </c>
      <c r="J5" s="55">
        <f>I5*K5</f>
        <v>106269.54000000001</v>
      </c>
      <c r="K5" s="56">
        <v>0.99690000000000001</v>
      </c>
      <c r="L5" s="136" t="str">
        <f>DATEDIF(B5,$L$2,"y")&amp;"年"&amp;DATEDIF(B5,$L$2,"ym")&amp;"ヶ月"</f>
        <v>5年9ヶ月</v>
      </c>
      <c r="M5" s="58"/>
      <c r="N5" s="58"/>
      <c r="O5" s="53"/>
      <c r="P5" s="59">
        <v>1.0064</v>
      </c>
      <c r="Q5" s="52">
        <f>O5*P5-F5</f>
        <v>-24070</v>
      </c>
      <c r="R5" s="250" t="s">
        <v>17</v>
      </c>
      <c r="S5" s="251"/>
    </row>
    <row r="6" spans="1:20" ht="24" customHeight="1">
      <c r="A6" s="15" t="s">
        <v>112</v>
      </c>
      <c r="B6" s="120">
        <v>41760</v>
      </c>
      <c r="C6" s="16">
        <v>1400</v>
      </c>
      <c r="D6" s="51" t="s">
        <v>28</v>
      </c>
      <c r="E6" s="52" t="s">
        <v>28</v>
      </c>
      <c r="F6" s="53" t="s">
        <v>28</v>
      </c>
      <c r="G6" s="54" t="s">
        <v>28</v>
      </c>
      <c r="H6" s="52" t="s">
        <v>28</v>
      </c>
      <c r="I6" s="53">
        <v>64400</v>
      </c>
      <c r="J6" s="55">
        <f t="shared" ref="J6:J24" si="0">I6*K6</f>
        <v>63330.960000000006</v>
      </c>
      <c r="K6" s="56">
        <v>0.98340000000000005</v>
      </c>
      <c r="L6" s="136" t="str">
        <f t="shared" ref="L6:L24" si="1">DATEDIF(B6,$L$2,"y")&amp;"年"&amp;DATEDIF(B6,$L$2,"ym")&amp;"ヶ月"</f>
        <v>3年10ヶ月</v>
      </c>
      <c r="M6" s="58"/>
      <c r="N6" s="58"/>
      <c r="O6" s="53"/>
      <c r="P6" s="59"/>
      <c r="Q6" s="52" t="e">
        <f t="shared" ref="Q6:Q17" si="2">O6*P6-F6</f>
        <v>#VALUE!</v>
      </c>
      <c r="R6" s="154" t="s">
        <v>23</v>
      </c>
      <c r="S6" s="155"/>
    </row>
    <row r="7" spans="1:20" ht="24" customHeight="1">
      <c r="A7" s="15" t="s">
        <v>592</v>
      </c>
      <c r="B7" s="120">
        <v>42125</v>
      </c>
      <c r="C7" s="16">
        <v>1400</v>
      </c>
      <c r="D7" s="51" t="s">
        <v>28</v>
      </c>
      <c r="E7" s="52" t="s">
        <v>28</v>
      </c>
      <c r="F7" s="53" t="s">
        <v>28</v>
      </c>
      <c r="G7" s="54" t="s">
        <v>28</v>
      </c>
      <c r="H7" s="52" t="s">
        <v>28</v>
      </c>
      <c r="I7" s="53">
        <v>47600</v>
      </c>
      <c r="J7" s="55">
        <f t="shared" si="0"/>
        <v>46467.119999999995</v>
      </c>
      <c r="K7" s="56">
        <v>0.97619999999999996</v>
      </c>
      <c r="L7" s="136" t="str">
        <f t="shared" si="1"/>
        <v>2年10ヶ月</v>
      </c>
      <c r="M7" s="58"/>
      <c r="N7" s="58"/>
      <c r="O7" s="53"/>
      <c r="P7" s="59"/>
      <c r="Q7" s="52" t="e">
        <f t="shared" si="2"/>
        <v>#VALUE!</v>
      </c>
      <c r="R7" s="154" t="s">
        <v>20</v>
      </c>
      <c r="S7" s="155"/>
    </row>
    <row r="8" spans="1:20" ht="24" customHeight="1">
      <c r="A8" s="15" t="s">
        <v>56</v>
      </c>
      <c r="B8" s="120">
        <v>42125</v>
      </c>
      <c r="C8" s="16">
        <v>1400</v>
      </c>
      <c r="D8" s="62" t="s">
        <v>28</v>
      </c>
      <c r="E8" s="52" t="s">
        <v>28</v>
      </c>
      <c r="F8" s="53" t="s">
        <v>28</v>
      </c>
      <c r="G8" s="63" t="s">
        <v>28</v>
      </c>
      <c r="H8" s="52" t="s">
        <v>28</v>
      </c>
      <c r="I8" s="53">
        <v>47600</v>
      </c>
      <c r="J8" s="55">
        <f t="shared" si="0"/>
        <v>46467.119999999995</v>
      </c>
      <c r="K8" s="56">
        <v>0.97619999999999996</v>
      </c>
      <c r="L8" s="136" t="str">
        <f t="shared" si="1"/>
        <v>2年10ヶ月</v>
      </c>
      <c r="M8" s="58"/>
      <c r="N8" s="58"/>
      <c r="O8" s="53"/>
      <c r="P8" s="59"/>
      <c r="Q8" s="52" t="e">
        <f t="shared" si="2"/>
        <v>#VALUE!</v>
      </c>
      <c r="R8" s="250" t="s">
        <v>111</v>
      </c>
      <c r="S8" s="251"/>
    </row>
    <row r="9" spans="1:20" ht="24" customHeight="1">
      <c r="A9" s="15"/>
      <c r="B9" s="120"/>
      <c r="C9" s="16"/>
      <c r="D9" s="62"/>
      <c r="E9" s="52"/>
      <c r="F9" s="53"/>
      <c r="G9" s="63"/>
      <c r="H9" s="52"/>
      <c r="I9" s="53"/>
      <c r="J9" s="55"/>
      <c r="K9" s="56"/>
      <c r="L9" s="136"/>
      <c r="M9" s="122"/>
      <c r="N9" s="58"/>
      <c r="O9" s="53"/>
      <c r="P9" s="59"/>
      <c r="Q9" s="52"/>
      <c r="R9" s="154"/>
      <c r="S9" s="155"/>
    </row>
    <row r="10" spans="1:20" ht="24" customHeight="1">
      <c r="A10" s="15"/>
      <c r="B10" s="120"/>
      <c r="C10" s="16"/>
      <c r="D10" s="51"/>
      <c r="E10" s="52"/>
      <c r="F10" s="64"/>
      <c r="G10" s="54"/>
      <c r="H10" s="52"/>
      <c r="I10" s="53"/>
      <c r="J10" s="55"/>
      <c r="K10" s="56"/>
      <c r="L10" s="136"/>
      <c r="M10" s="58"/>
      <c r="N10" s="58"/>
      <c r="O10" s="53"/>
      <c r="P10" s="59"/>
      <c r="Q10" s="52"/>
      <c r="R10" s="154"/>
      <c r="S10" s="155"/>
    </row>
    <row r="11" spans="1:20" ht="24" customHeight="1">
      <c r="A11" s="140" t="s">
        <v>38</v>
      </c>
      <c r="B11" s="141">
        <v>39173</v>
      </c>
      <c r="C11" s="142">
        <v>3400</v>
      </c>
      <c r="D11" s="143">
        <v>39539</v>
      </c>
      <c r="E11" s="144">
        <v>123800</v>
      </c>
      <c r="F11" s="151">
        <v>122990</v>
      </c>
      <c r="G11" s="145">
        <v>41729</v>
      </c>
      <c r="H11" s="144" t="s">
        <v>52</v>
      </c>
      <c r="I11" s="47">
        <v>290200</v>
      </c>
      <c r="J11" s="146">
        <f t="shared" si="0"/>
        <v>291825.12</v>
      </c>
      <c r="K11" s="147">
        <v>1.0056</v>
      </c>
      <c r="L11" s="148" t="str">
        <f>DATEDIF(B11,$M$11,"y")&amp;"年"&amp;DATEDIF(B11,$M$11,"ym")&amp;"ヶ月"</f>
        <v>10年8ヶ月</v>
      </c>
      <c r="M11" s="149">
        <v>43097</v>
      </c>
      <c r="N11" s="149"/>
      <c r="O11" s="47"/>
      <c r="P11" s="150">
        <v>1.0056</v>
      </c>
      <c r="Q11" s="144">
        <f t="shared" si="2"/>
        <v>-122990</v>
      </c>
      <c r="R11" s="159" t="s">
        <v>48</v>
      </c>
      <c r="S11" s="160"/>
    </row>
    <row r="12" spans="1:20" ht="24" customHeight="1">
      <c r="A12" s="15" t="s">
        <v>40</v>
      </c>
      <c r="B12" s="120">
        <v>38473</v>
      </c>
      <c r="C12" s="16">
        <v>4400</v>
      </c>
      <c r="D12" s="51">
        <v>38504</v>
      </c>
      <c r="E12" s="52">
        <v>206400</v>
      </c>
      <c r="F12" s="64">
        <v>207300</v>
      </c>
      <c r="G12" s="54">
        <v>41729</v>
      </c>
      <c r="H12" s="52" t="s">
        <v>50</v>
      </c>
      <c r="I12" s="53">
        <v>404600</v>
      </c>
      <c r="J12" s="55">
        <f t="shared" si="0"/>
        <v>409697.95999999996</v>
      </c>
      <c r="K12" s="56">
        <v>1.0125999999999999</v>
      </c>
      <c r="L12" s="136" t="str">
        <f t="shared" si="1"/>
        <v>12年10ヶ月</v>
      </c>
      <c r="M12" s="58"/>
      <c r="N12" s="58"/>
      <c r="O12" s="53"/>
      <c r="P12" s="59"/>
      <c r="Q12" s="52">
        <f t="shared" si="2"/>
        <v>-207300</v>
      </c>
      <c r="R12" s="154" t="s">
        <v>48</v>
      </c>
      <c r="S12" s="155"/>
    </row>
    <row r="13" spans="1:20" ht="24" customHeight="1">
      <c r="A13" s="15" t="s">
        <v>41</v>
      </c>
      <c r="B13" s="120">
        <v>38473</v>
      </c>
      <c r="C13" s="16">
        <v>4400</v>
      </c>
      <c r="D13" s="51">
        <v>38504</v>
      </c>
      <c r="E13" s="52">
        <v>206400</v>
      </c>
      <c r="F13" s="64">
        <v>207300</v>
      </c>
      <c r="G13" s="54">
        <v>41729</v>
      </c>
      <c r="H13" s="52" t="s">
        <v>50</v>
      </c>
      <c r="I13" s="53">
        <v>404600</v>
      </c>
      <c r="J13" s="55">
        <f t="shared" si="0"/>
        <v>409697.95999999996</v>
      </c>
      <c r="K13" s="56">
        <v>1.0125999999999999</v>
      </c>
      <c r="L13" s="136" t="str">
        <f t="shared" si="1"/>
        <v>12年10ヶ月</v>
      </c>
      <c r="M13" s="58"/>
      <c r="N13" s="58"/>
      <c r="O13" s="53"/>
      <c r="P13" s="59"/>
      <c r="Q13" s="52">
        <f t="shared" si="2"/>
        <v>-207300</v>
      </c>
      <c r="R13" s="154" t="s">
        <v>48</v>
      </c>
      <c r="S13" s="155"/>
    </row>
    <row r="14" spans="1:20" ht="24" customHeight="1">
      <c r="A14" s="15" t="s">
        <v>42</v>
      </c>
      <c r="B14" s="120">
        <v>41030</v>
      </c>
      <c r="C14" s="16">
        <v>1400</v>
      </c>
      <c r="D14" s="51">
        <v>41061</v>
      </c>
      <c r="E14" s="52">
        <v>30800</v>
      </c>
      <c r="F14" s="64">
        <v>29680</v>
      </c>
      <c r="G14" s="54">
        <v>41729</v>
      </c>
      <c r="H14" s="52" t="s">
        <v>51</v>
      </c>
      <c r="I14" s="53">
        <v>109000</v>
      </c>
      <c r="J14" s="55">
        <f t="shared" si="0"/>
        <v>108771.1</v>
      </c>
      <c r="K14" s="56">
        <v>0.99790000000000001</v>
      </c>
      <c r="L14" s="136" t="str">
        <f t="shared" si="1"/>
        <v>5年10ヶ月</v>
      </c>
      <c r="M14" s="58"/>
      <c r="N14" s="58"/>
      <c r="O14" s="53"/>
      <c r="P14" s="59">
        <v>1.0062</v>
      </c>
      <c r="Q14" s="52">
        <f t="shared" si="2"/>
        <v>-29680</v>
      </c>
      <c r="R14" s="154" t="s">
        <v>48</v>
      </c>
      <c r="S14" s="155"/>
    </row>
    <row r="15" spans="1:20" ht="24" customHeight="1">
      <c r="A15" s="15" t="s">
        <v>43</v>
      </c>
      <c r="B15" s="120">
        <v>41030</v>
      </c>
      <c r="C15" s="16">
        <v>1400</v>
      </c>
      <c r="D15" s="51">
        <v>41061</v>
      </c>
      <c r="E15" s="52">
        <v>30800</v>
      </c>
      <c r="F15" s="64">
        <v>29680</v>
      </c>
      <c r="G15" s="54">
        <v>41729</v>
      </c>
      <c r="H15" s="52" t="s">
        <v>51</v>
      </c>
      <c r="I15" s="53">
        <v>109000</v>
      </c>
      <c r="J15" s="55">
        <f t="shared" si="0"/>
        <v>108771.1</v>
      </c>
      <c r="K15" s="56">
        <v>0.99790000000000001</v>
      </c>
      <c r="L15" s="136" t="str">
        <f t="shared" si="1"/>
        <v>5年10ヶ月</v>
      </c>
      <c r="M15" s="58"/>
      <c r="N15" s="58"/>
      <c r="O15" s="53"/>
      <c r="P15" s="59"/>
      <c r="Q15" s="52">
        <f t="shared" si="2"/>
        <v>-29680</v>
      </c>
      <c r="R15" s="154" t="s">
        <v>48</v>
      </c>
      <c r="S15" s="155"/>
    </row>
    <row r="16" spans="1:20" ht="24" customHeight="1">
      <c r="A16" s="15" t="s">
        <v>588</v>
      </c>
      <c r="B16" s="120">
        <v>41944</v>
      </c>
      <c r="C16" s="16">
        <v>1400</v>
      </c>
      <c r="D16" s="51" t="s">
        <v>28</v>
      </c>
      <c r="E16" s="52" t="s">
        <v>28</v>
      </c>
      <c r="F16" s="64" t="s">
        <v>28</v>
      </c>
      <c r="G16" s="54" t="s">
        <v>28</v>
      </c>
      <c r="H16" s="52" t="s">
        <v>28</v>
      </c>
      <c r="I16" s="53">
        <v>56000</v>
      </c>
      <c r="J16" s="55">
        <f t="shared" si="0"/>
        <v>54896.799999999996</v>
      </c>
      <c r="K16" s="56">
        <v>0.98029999999999995</v>
      </c>
      <c r="L16" s="136" t="str">
        <f t="shared" si="1"/>
        <v>3年4ヶ月</v>
      </c>
      <c r="M16" s="58"/>
      <c r="N16" s="58"/>
      <c r="O16" s="53"/>
      <c r="P16" s="59"/>
      <c r="Q16" s="52" t="e">
        <f t="shared" si="2"/>
        <v>#VALUE!</v>
      </c>
      <c r="R16" s="154" t="s">
        <v>48</v>
      </c>
      <c r="S16" s="155"/>
    </row>
    <row r="17" spans="1:19" ht="24" customHeight="1">
      <c r="A17" s="15" t="s">
        <v>568</v>
      </c>
      <c r="B17" s="120">
        <v>42278</v>
      </c>
      <c r="C17" s="16"/>
      <c r="D17" s="51" t="s">
        <v>28</v>
      </c>
      <c r="E17" s="52" t="s">
        <v>28</v>
      </c>
      <c r="F17" s="64" t="s">
        <v>28</v>
      </c>
      <c r="G17" s="54" t="s">
        <v>28</v>
      </c>
      <c r="H17" s="52" t="s">
        <v>28</v>
      </c>
      <c r="I17" s="64">
        <v>40600</v>
      </c>
      <c r="J17" s="55">
        <f t="shared" si="0"/>
        <v>39422.6</v>
      </c>
      <c r="K17" s="56">
        <v>0.97099999999999997</v>
      </c>
      <c r="L17" s="136" t="str">
        <f t="shared" si="1"/>
        <v>2年5ヶ月</v>
      </c>
      <c r="M17" s="58"/>
      <c r="N17" s="58"/>
      <c r="O17" s="64"/>
      <c r="P17" s="59"/>
      <c r="Q17" s="52" t="e">
        <f t="shared" si="2"/>
        <v>#VALUE!</v>
      </c>
      <c r="R17" s="154" t="s">
        <v>48</v>
      </c>
      <c r="S17" s="155"/>
    </row>
    <row r="18" spans="1:19" ht="24" customHeight="1">
      <c r="A18" s="15" t="s">
        <v>584</v>
      </c>
      <c r="B18" s="120">
        <v>42491</v>
      </c>
      <c r="C18" s="16"/>
      <c r="D18" s="51" t="s">
        <v>28</v>
      </c>
      <c r="E18" s="52" t="s">
        <v>28</v>
      </c>
      <c r="F18" s="64" t="s">
        <v>28</v>
      </c>
      <c r="G18" s="54" t="s">
        <v>28</v>
      </c>
      <c r="H18" s="52" t="s">
        <v>28</v>
      </c>
      <c r="I18" s="64">
        <v>30800</v>
      </c>
      <c r="J18" s="55">
        <f t="shared" si="0"/>
        <v>29589.56</v>
      </c>
      <c r="K18" s="56">
        <v>0.9607</v>
      </c>
      <c r="L18" s="136" t="str">
        <f t="shared" si="1"/>
        <v>1年10ヶ月</v>
      </c>
      <c r="M18" s="58"/>
      <c r="N18" s="58"/>
      <c r="O18" s="64"/>
      <c r="P18" s="59"/>
      <c r="Q18" s="52"/>
      <c r="R18" s="154" t="s">
        <v>596</v>
      </c>
      <c r="S18" s="155"/>
    </row>
    <row r="19" spans="1:19" ht="24" customHeight="1">
      <c r="A19" s="15" t="s">
        <v>585</v>
      </c>
      <c r="B19" s="120">
        <v>42522</v>
      </c>
      <c r="C19" s="16"/>
      <c r="D19" s="51" t="s">
        <v>28</v>
      </c>
      <c r="E19" s="52" t="s">
        <v>28</v>
      </c>
      <c r="F19" s="64" t="s">
        <v>28</v>
      </c>
      <c r="G19" s="54" t="s">
        <v>28</v>
      </c>
      <c r="H19" s="52" t="s">
        <v>28</v>
      </c>
      <c r="I19" s="64">
        <v>29400</v>
      </c>
      <c r="J19" s="55">
        <f t="shared" si="0"/>
        <v>28168.14</v>
      </c>
      <c r="K19" s="56">
        <v>0.95809999999999995</v>
      </c>
      <c r="L19" s="136" t="str">
        <f t="shared" si="1"/>
        <v>1年9ヶ月</v>
      </c>
      <c r="M19" s="58"/>
      <c r="N19" s="58"/>
      <c r="O19" s="64"/>
      <c r="P19" s="59"/>
      <c r="Q19" s="52"/>
      <c r="R19" s="154" t="s">
        <v>593</v>
      </c>
      <c r="S19" s="155"/>
    </row>
    <row r="20" spans="1:19" ht="24" customHeight="1">
      <c r="A20" s="15" t="s">
        <v>586</v>
      </c>
      <c r="B20" s="120">
        <v>42552</v>
      </c>
      <c r="C20" s="16"/>
      <c r="D20" s="51" t="s">
        <v>28</v>
      </c>
      <c r="E20" s="52" t="s">
        <v>28</v>
      </c>
      <c r="F20" s="64" t="s">
        <v>28</v>
      </c>
      <c r="G20" s="54" t="s">
        <v>28</v>
      </c>
      <c r="H20" s="52" t="s">
        <v>28</v>
      </c>
      <c r="I20" s="64">
        <v>28000</v>
      </c>
      <c r="J20" s="55">
        <f t="shared" si="0"/>
        <v>26756.799999999999</v>
      </c>
      <c r="K20" s="56">
        <v>0.9556</v>
      </c>
      <c r="L20" s="136" t="str">
        <f t="shared" si="1"/>
        <v>1年8ヶ月</v>
      </c>
      <c r="M20" s="58"/>
      <c r="N20" s="58"/>
      <c r="O20" s="64"/>
      <c r="P20" s="59"/>
      <c r="Q20" s="52"/>
      <c r="R20" s="154" t="s">
        <v>25</v>
      </c>
      <c r="S20" s="155"/>
    </row>
    <row r="21" spans="1:19" ht="24" customHeight="1">
      <c r="A21" s="15" t="s">
        <v>587</v>
      </c>
      <c r="B21" s="120">
        <v>42552</v>
      </c>
      <c r="C21" s="16"/>
      <c r="D21" s="51" t="s">
        <v>28</v>
      </c>
      <c r="E21" s="52" t="s">
        <v>28</v>
      </c>
      <c r="F21" s="64" t="s">
        <v>28</v>
      </c>
      <c r="G21" s="54" t="s">
        <v>28</v>
      </c>
      <c r="H21" s="52" t="s">
        <v>28</v>
      </c>
      <c r="I21" s="64">
        <v>28000</v>
      </c>
      <c r="J21" s="55">
        <f t="shared" si="0"/>
        <v>26756.799999999999</v>
      </c>
      <c r="K21" s="56">
        <v>0.9556</v>
      </c>
      <c r="L21" s="136" t="str">
        <f t="shared" si="1"/>
        <v>1年8ヶ月</v>
      </c>
      <c r="M21" s="58"/>
      <c r="N21" s="58"/>
      <c r="O21" s="64"/>
      <c r="P21" s="59"/>
      <c r="Q21" s="52"/>
      <c r="R21" s="154" t="s">
        <v>593</v>
      </c>
      <c r="S21" s="155"/>
    </row>
    <row r="22" spans="1:19" ht="24" customHeight="1">
      <c r="A22" s="15" t="s">
        <v>591</v>
      </c>
      <c r="B22" s="120">
        <v>42675</v>
      </c>
      <c r="C22" s="16"/>
      <c r="D22" s="51" t="s">
        <v>28</v>
      </c>
      <c r="E22" s="52" t="s">
        <v>28</v>
      </c>
      <c r="F22" s="64" t="s">
        <v>28</v>
      </c>
      <c r="G22" s="54" t="s">
        <v>28</v>
      </c>
      <c r="H22" s="52" t="s">
        <v>28</v>
      </c>
      <c r="I22" s="64">
        <v>22400</v>
      </c>
      <c r="J22" s="55">
        <f t="shared" si="0"/>
        <v>21174.720000000001</v>
      </c>
      <c r="K22" s="56">
        <v>0.94530000000000003</v>
      </c>
      <c r="L22" s="136" t="str">
        <f t="shared" si="1"/>
        <v>1年4ヶ月</v>
      </c>
      <c r="M22" s="58"/>
      <c r="N22" s="58"/>
      <c r="O22" s="64"/>
      <c r="P22" s="59"/>
      <c r="Q22" s="52"/>
      <c r="R22" s="154" t="s">
        <v>595</v>
      </c>
      <c r="S22" s="155"/>
    </row>
    <row r="23" spans="1:19" ht="24" customHeight="1">
      <c r="A23" s="15" t="s">
        <v>589</v>
      </c>
      <c r="B23" s="120">
        <v>42675</v>
      </c>
      <c r="C23" s="16"/>
      <c r="D23" s="51" t="s">
        <v>28</v>
      </c>
      <c r="E23" s="52" t="s">
        <v>28</v>
      </c>
      <c r="F23" s="64" t="s">
        <v>28</v>
      </c>
      <c r="G23" s="54" t="s">
        <v>28</v>
      </c>
      <c r="H23" s="52" t="s">
        <v>28</v>
      </c>
      <c r="I23" s="64">
        <v>22400</v>
      </c>
      <c r="J23" s="55">
        <f t="shared" si="0"/>
        <v>21174.720000000001</v>
      </c>
      <c r="K23" s="56">
        <v>0.94530000000000003</v>
      </c>
      <c r="L23" s="136" t="str">
        <f t="shared" si="1"/>
        <v>1年4ヶ月</v>
      </c>
      <c r="M23" s="58"/>
      <c r="N23" s="58"/>
      <c r="O23" s="64"/>
      <c r="P23" s="59"/>
      <c r="Q23" s="52"/>
      <c r="R23" s="154" t="s">
        <v>596</v>
      </c>
      <c r="S23" s="155"/>
    </row>
    <row r="24" spans="1:19" ht="24" customHeight="1">
      <c r="A24" s="15" t="s">
        <v>590</v>
      </c>
      <c r="B24" s="120">
        <v>42705</v>
      </c>
      <c r="C24" s="16"/>
      <c r="D24" s="51" t="s">
        <v>28</v>
      </c>
      <c r="E24" s="52" t="s">
        <v>28</v>
      </c>
      <c r="F24" s="64" t="s">
        <v>28</v>
      </c>
      <c r="G24" s="54" t="s">
        <v>28</v>
      </c>
      <c r="H24" s="52" t="s">
        <v>28</v>
      </c>
      <c r="I24" s="64">
        <v>21000</v>
      </c>
      <c r="J24" s="55">
        <f t="shared" si="0"/>
        <v>19798.8</v>
      </c>
      <c r="K24" s="56">
        <v>0.94279999999999997</v>
      </c>
      <c r="L24" s="136" t="str">
        <f t="shared" si="1"/>
        <v>1年3ヶ月</v>
      </c>
      <c r="M24" s="58"/>
      <c r="N24" s="58"/>
      <c r="O24" s="64"/>
      <c r="P24" s="59"/>
      <c r="Q24" s="52"/>
      <c r="R24" s="154" t="s">
        <v>596</v>
      </c>
      <c r="S24" s="155"/>
    </row>
    <row r="25" spans="1:19" ht="24" customHeight="1">
      <c r="A25" s="15"/>
      <c r="B25" s="120"/>
      <c r="C25" s="16"/>
      <c r="D25" s="51"/>
      <c r="E25" s="52"/>
      <c r="F25" s="64"/>
      <c r="G25" s="54"/>
      <c r="H25" s="52"/>
      <c r="I25" s="64"/>
      <c r="J25" s="55"/>
      <c r="K25" s="56"/>
      <c r="L25" s="136"/>
      <c r="M25" s="58"/>
      <c r="N25" s="58"/>
      <c r="O25" s="64"/>
      <c r="P25" s="59"/>
      <c r="Q25" s="52"/>
      <c r="R25" s="154"/>
      <c r="S25" s="155"/>
    </row>
    <row r="26" spans="1:19" ht="24" customHeight="1">
      <c r="A26" s="15"/>
      <c r="B26" s="120"/>
      <c r="C26" s="16"/>
      <c r="D26" s="51"/>
      <c r="E26" s="52"/>
      <c r="F26" s="64"/>
      <c r="G26" s="54"/>
      <c r="H26" s="52"/>
      <c r="I26" s="64"/>
      <c r="J26" s="55"/>
      <c r="K26" s="56"/>
      <c r="L26" s="136"/>
      <c r="M26" s="58"/>
      <c r="N26" s="58"/>
      <c r="O26" s="64"/>
      <c r="P26" s="59"/>
      <c r="Q26" s="52"/>
      <c r="R26" s="154"/>
      <c r="S26" s="155"/>
    </row>
    <row r="27" spans="1:19" ht="24" customHeight="1">
      <c r="A27" s="15"/>
      <c r="B27" s="120"/>
      <c r="C27" s="16"/>
      <c r="D27" s="51"/>
      <c r="E27" s="52"/>
      <c r="F27" s="64"/>
      <c r="G27" s="54"/>
      <c r="H27" s="52"/>
      <c r="I27" s="64"/>
      <c r="J27" s="55"/>
      <c r="K27" s="56"/>
      <c r="L27" s="136"/>
      <c r="M27" s="58"/>
      <c r="N27" s="58"/>
      <c r="O27" s="64"/>
      <c r="P27" s="59"/>
      <c r="Q27" s="52"/>
      <c r="R27" s="154"/>
      <c r="S27" s="155"/>
    </row>
    <row r="28" spans="1:19" ht="24" customHeight="1">
      <c r="A28" s="15"/>
      <c r="B28" s="120"/>
      <c r="C28" s="16"/>
      <c r="D28" s="51"/>
      <c r="E28" s="52"/>
      <c r="F28" s="64"/>
      <c r="G28" s="54"/>
      <c r="H28" s="52"/>
      <c r="I28" s="64"/>
      <c r="J28" s="55"/>
      <c r="K28" s="56"/>
      <c r="L28" s="136"/>
      <c r="M28" s="58"/>
      <c r="N28" s="58"/>
      <c r="O28" s="64"/>
      <c r="P28" s="59"/>
      <c r="Q28" s="52"/>
      <c r="R28" s="154"/>
      <c r="S28" s="155"/>
    </row>
    <row r="29" spans="1:19" ht="24" customHeight="1" thickBot="1">
      <c r="A29" s="17" t="s">
        <v>581</v>
      </c>
      <c r="B29" s="120"/>
      <c r="C29" s="15"/>
      <c r="D29" s="62"/>
      <c r="E29" s="52"/>
      <c r="F29" s="65">
        <f>SUM(F5:F28)</f>
        <v>621020</v>
      </c>
      <c r="G29" s="63"/>
      <c r="H29" s="52"/>
      <c r="I29" s="65">
        <f>SUM(I5:I28)</f>
        <v>1862200</v>
      </c>
      <c r="J29" s="55">
        <f>SUM(J5:J28)</f>
        <v>1859036.9200000002</v>
      </c>
      <c r="K29" s="66"/>
      <c r="L29" s="57"/>
      <c r="M29" s="52"/>
      <c r="N29" s="52"/>
      <c r="O29" s="65"/>
      <c r="P29" s="67"/>
      <c r="Q29" s="52"/>
      <c r="R29" s="250"/>
      <c r="S29" s="251"/>
    </row>
    <row r="30" spans="1:19">
      <c r="B30" s="18"/>
      <c r="C30" s="18"/>
      <c r="H30" s="52" t="s">
        <v>598</v>
      </c>
      <c r="I30" s="171">
        <f>I29-Ｈ28年度末退職金!I34</f>
        <v>-103200</v>
      </c>
      <c r="J30" s="176">
        <f>J29-Ｈ28年度末退職金!J34</f>
        <v>-260040.55999999982</v>
      </c>
    </row>
    <row r="31" spans="1:19">
      <c r="B31" s="1"/>
      <c r="C31" s="32"/>
    </row>
    <row r="32" spans="1:19">
      <c r="B32" s="1"/>
      <c r="C32" s="32"/>
      <c r="D32" s="168"/>
      <c r="E32" s="264"/>
      <c r="F32" s="264"/>
      <c r="H32" s="258"/>
      <c r="I32" s="260" t="s">
        <v>86</v>
      </c>
      <c r="J32" s="260"/>
      <c r="K32" s="24" t="s">
        <v>87</v>
      </c>
      <c r="L32" s="27" t="s">
        <v>67</v>
      </c>
      <c r="M32" s="27" t="s">
        <v>88</v>
      </c>
      <c r="N32" s="27" t="s">
        <v>67</v>
      </c>
      <c r="O32" s="24"/>
      <c r="P32" s="27" t="s">
        <v>87</v>
      </c>
      <c r="Q32" s="28" t="s">
        <v>89</v>
      </c>
      <c r="R32" s="27" t="s">
        <v>87</v>
      </c>
    </row>
    <row r="33" spans="2:18">
      <c r="B33" s="1"/>
      <c r="C33" s="32"/>
      <c r="D33" s="167"/>
      <c r="E33" s="261"/>
      <c r="F33" s="261"/>
      <c r="G33" s="22"/>
      <c r="H33" s="259"/>
      <c r="I33" s="23" t="s">
        <v>67</v>
      </c>
      <c r="J33" s="23" t="s">
        <v>98</v>
      </c>
      <c r="K33" s="25" t="s">
        <v>68</v>
      </c>
      <c r="L33" s="25" t="s">
        <v>68</v>
      </c>
      <c r="M33" s="25" t="s">
        <v>68</v>
      </c>
      <c r="N33" s="25" t="s">
        <v>68</v>
      </c>
      <c r="O33" s="25" t="s">
        <v>98</v>
      </c>
      <c r="P33" s="25" t="s">
        <v>6</v>
      </c>
      <c r="Q33" s="25" t="s">
        <v>90</v>
      </c>
      <c r="R33" s="25" t="s">
        <v>93</v>
      </c>
    </row>
    <row r="34" spans="2:18">
      <c r="B34" s="1"/>
      <c r="C34" s="32"/>
      <c r="D34" s="167"/>
      <c r="E34" s="261"/>
      <c r="F34" s="261"/>
      <c r="G34" s="22"/>
      <c r="H34" s="26" t="s">
        <v>38</v>
      </c>
      <c r="I34" s="156">
        <v>10</v>
      </c>
      <c r="J34" s="156">
        <v>8</v>
      </c>
      <c r="K34" s="68">
        <f t="shared" ref="K34" si="3">(L34+((M34-N34)*O34/12))*P34</f>
        <v>291825.12</v>
      </c>
      <c r="L34" s="68">
        <v>255000</v>
      </c>
      <c r="M34" s="68">
        <v>307800</v>
      </c>
      <c r="N34" s="68">
        <v>255000</v>
      </c>
      <c r="O34" s="72">
        <v>8</v>
      </c>
      <c r="P34" s="70">
        <v>1.0056</v>
      </c>
      <c r="Q34" s="71">
        <v>122990</v>
      </c>
      <c r="R34" s="71">
        <f t="shared" ref="R34" si="4">K34-Q34</f>
        <v>168835.12</v>
      </c>
    </row>
    <row r="35" spans="2:18">
      <c r="B35" s="1"/>
      <c r="C35" s="32"/>
      <c r="D35" s="167"/>
      <c r="E35" s="261"/>
      <c r="F35" s="261"/>
      <c r="G35" s="22"/>
      <c r="H35" s="21"/>
      <c r="I35" s="30" t="s">
        <v>95</v>
      </c>
      <c r="K35" s="19"/>
      <c r="L35" s="19"/>
      <c r="M35" s="19"/>
      <c r="N35" s="19"/>
      <c r="Q35" s="20"/>
    </row>
    <row r="36" spans="2:18">
      <c r="B36" s="1"/>
      <c r="C36" s="32"/>
      <c r="D36" s="167"/>
      <c r="E36" s="261"/>
      <c r="F36" s="261"/>
      <c r="G36" s="31"/>
      <c r="H36" s="21"/>
      <c r="I36" s="30" t="s">
        <v>94</v>
      </c>
      <c r="K36" s="19"/>
      <c r="L36" s="19"/>
      <c r="M36" s="19"/>
      <c r="N36" s="19"/>
      <c r="Q36" s="20"/>
    </row>
    <row r="37" spans="2:18">
      <c r="B37" s="1"/>
      <c r="C37" s="32"/>
      <c r="I37" s="30" t="s">
        <v>97</v>
      </c>
      <c r="K37" s="19"/>
      <c r="L37" s="19"/>
      <c r="M37" s="19"/>
      <c r="N37" s="19"/>
      <c r="Q37" s="20"/>
    </row>
    <row r="38" spans="2:18">
      <c r="B38" s="1"/>
      <c r="C38" s="32"/>
      <c r="D38" s="92"/>
      <c r="E38" s="93"/>
      <c r="F38" s="93"/>
      <c r="G38" s="1"/>
      <c r="I38" s="30" t="s">
        <v>96</v>
      </c>
      <c r="K38" s="19"/>
      <c r="L38" s="19"/>
      <c r="M38" s="19"/>
      <c r="N38" s="19"/>
      <c r="Q38" s="20"/>
    </row>
    <row r="39" spans="2:18">
      <c r="B39" s="1"/>
      <c r="C39" s="32"/>
      <c r="D39" s="94"/>
      <c r="E39" s="32"/>
      <c r="G39" s="1"/>
      <c r="I39" s="118" t="s">
        <v>114</v>
      </c>
      <c r="K39" s="19"/>
      <c r="Q39" s="20"/>
    </row>
    <row r="40" spans="2:18">
      <c r="B40" s="1"/>
      <c r="C40" s="32"/>
      <c r="D40" s="94"/>
      <c r="E40" s="32"/>
      <c r="G40" s="1"/>
      <c r="H40" s="33"/>
      <c r="I40" s="123" t="s">
        <v>599</v>
      </c>
      <c r="J40" s="33"/>
      <c r="K40" s="19"/>
      <c r="Q40" s="20"/>
    </row>
    <row r="41" spans="2:18">
      <c r="B41" s="1"/>
      <c r="C41" s="32"/>
      <c r="D41" s="94"/>
      <c r="E41" s="32"/>
      <c r="F41" s="32"/>
      <c r="G41" s="1"/>
      <c r="H41" s="118"/>
      <c r="I41" s="118"/>
      <c r="J41" s="118"/>
      <c r="K41" s="1"/>
      <c r="L41" s="117"/>
      <c r="M41" s="117"/>
      <c r="N41" s="117"/>
      <c r="O41" s="1"/>
      <c r="P41" s="117"/>
      <c r="Q41" s="83"/>
      <c r="R41" s="117"/>
    </row>
    <row r="42" spans="2:18">
      <c r="B42" s="1"/>
      <c r="C42" s="32"/>
      <c r="D42" s="91"/>
      <c r="E42" s="32"/>
      <c r="G42" s="1"/>
      <c r="H42" s="118"/>
      <c r="I42" s="78"/>
      <c r="J42" s="119"/>
      <c r="K42" s="84"/>
      <c r="L42" s="84"/>
      <c r="M42" s="84"/>
      <c r="N42" s="84"/>
      <c r="O42" s="84"/>
      <c r="P42" s="84"/>
      <c r="Q42" s="84"/>
      <c r="R42" s="84"/>
    </row>
    <row r="43" spans="2:18">
      <c r="B43" s="1"/>
      <c r="C43" s="32"/>
      <c r="G43" s="1"/>
      <c r="H43" s="21"/>
      <c r="I43" s="78"/>
      <c r="J43" s="78"/>
      <c r="K43" s="85"/>
      <c r="L43" s="85"/>
      <c r="M43" s="85"/>
      <c r="N43" s="85"/>
      <c r="O43" s="86"/>
      <c r="P43" s="87"/>
      <c r="Q43" s="85"/>
      <c r="R43" s="88"/>
    </row>
    <row r="44" spans="2:18">
      <c r="B44" s="1"/>
      <c r="C44" s="32">
        <f>C43+4400*12</f>
        <v>52800</v>
      </c>
      <c r="G44" s="1"/>
      <c r="H44" s="89"/>
      <c r="I44" s="78"/>
      <c r="J44" s="78"/>
      <c r="K44" s="85"/>
      <c r="L44" s="85"/>
      <c r="M44" s="85"/>
      <c r="N44" s="85"/>
      <c r="O44" s="86"/>
      <c r="P44" s="87"/>
      <c r="Q44" s="88"/>
      <c r="R44" s="88"/>
    </row>
    <row r="45" spans="2:18">
      <c r="B45" s="1"/>
      <c r="C45" s="32">
        <f>C44+4400*12</f>
        <v>105600</v>
      </c>
      <c r="G45" s="1"/>
      <c r="H45" s="21"/>
      <c r="I45" s="78"/>
      <c r="J45" s="78"/>
      <c r="K45" s="85"/>
      <c r="L45" s="85"/>
      <c r="M45" s="85"/>
      <c r="N45" s="85"/>
      <c r="O45" s="90"/>
      <c r="P45" s="87"/>
      <c r="Q45" s="88"/>
      <c r="R45" s="88"/>
    </row>
    <row r="46" spans="2:18">
      <c r="B46" s="1"/>
      <c r="C46" s="32">
        <f>C45+4400*12</f>
        <v>158400</v>
      </c>
      <c r="G46" s="1"/>
      <c r="H46" s="78"/>
      <c r="I46" s="78"/>
      <c r="J46" s="33"/>
    </row>
    <row r="47" spans="2:18">
      <c r="B47" s="1"/>
      <c r="C47" s="32">
        <f>C46+4400*12</f>
        <v>211200</v>
      </c>
      <c r="G47" s="1"/>
      <c r="H47" s="78"/>
      <c r="I47" s="1"/>
    </row>
    <row r="48" spans="2:18">
      <c r="B48" s="1"/>
      <c r="C48" s="32">
        <f>C47+4400*12</f>
        <v>264000</v>
      </c>
      <c r="G48" s="1"/>
      <c r="H48" s="33"/>
      <c r="I48" s="1"/>
    </row>
    <row r="49" spans="7:9">
      <c r="G49" s="77"/>
      <c r="H49" s="33"/>
      <c r="I49" s="1"/>
    </row>
    <row r="50" spans="7:9">
      <c r="G50" s="77"/>
      <c r="H50" s="78"/>
      <c r="I50" s="1"/>
    </row>
    <row r="51" spans="7:9">
      <c r="G51" s="77"/>
      <c r="H51" s="78"/>
    </row>
    <row r="52" spans="7:9">
      <c r="H52" s="78"/>
    </row>
    <row r="53" spans="7:9">
      <c r="H53" s="79"/>
    </row>
    <row r="54" spans="7:9">
      <c r="H54" s="78"/>
    </row>
    <row r="55" spans="7:9">
      <c r="H55" s="78"/>
    </row>
    <row r="56" spans="7:9">
      <c r="H56" s="78"/>
    </row>
    <row r="57" spans="7:9">
      <c r="H57" s="78"/>
    </row>
  </sheetData>
  <mergeCells count="15">
    <mergeCell ref="E34:F34"/>
    <mergeCell ref="E35:F35"/>
    <mergeCell ref="E36:F36"/>
    <mergeCell ref="R8:S8"/>
    <mergeCell ref="R29:S29"/>
    <mergeCell ref="E32:F32"/>
    <mergeCell ref="H32:H33"/>
    <mergeCell ref="I32:J32"/>
    <mergeCell ref="E33:F33"/>
    <mergeCell ref="R5:S5"/>
    <mergeCell ref="R2:S2"/>
    <mergeCell ref="A3:A4"/>
    <mergeCell ref="B3:B4"/>
    <mergeCell ref="I3:I4"/>
    <mergeCell ref="R3:S4"/>
  </mergeCells>
  <phoneticPr fontId="2"/>
  <pageMargins left="0.25" right="0.25" top="0.75" bottom="0.75" header="0.3" footer="0.3"/>
  <pageSetup paperSize="8" scale="78" orientation="landscape"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00"/>
  </sheetPr>
  <dimension ref="A1:AR64"/>
  <sheetViews>
    <sheetView tabSelected="1" topLeftCell="A11" zoomScaleNormal="100" workbookViewId="0">
      <pane xSplit="1" topLeftCell="B1" activePane="topRight" state="frozen"/>
      <selection pane="topRight" activeCell="AO35" sqref="AO35"/>
    </sheetView>
  </sheetViews>
  <sheetFormatPr defaultRowHeight="13.5"/>
  <cols>
    <col min="1" max="1" width="10" style="3" customWidth="1"/>
    <col min="2" max="2" width="13.125" style="3" hidden="1" customWidth="1"/>
    <col min="3" max="3" width="9.75" style="3" hidden="1" customWidth="1"/>
    <col min="4" max="4" width="15" style="3" hidden="1" customWidth="1"/>
    <col min="5" max="6" width="10" style="3" hidden="1" customWidth="1"/>
    <col min="7" max="7" width="15" style="3" hidden="1" customWidth="1"/>
    <col min="8" max="8" width="13.125" style="3" hidden="1" customWidth="1"/>
    <col min="9" max="9" width="11.375" style="3" customWidth="1"/>
    <col min="10" max="10" width="10.375" style="3" customWidth="1"/>
    <col min="11" max="11" width="10.375" style="3" hidden="1" customWidth="1"/>
    <col min="12" max="17" width="11.875" style="3" hidden="1" customWidth="1"/>
    <col min="18" max="19" width="10.625" style="3" hidden="1" customWidth="1"/>
    <col min="20" max="21" width="9" style="3"/>
    <col min="22" max="22" width="14.25" style="3" hidden="1" customWidth="1"/>
    <col min="23" max="26" width="0" style="3" hidden="1" customWidth="1"/>
    <col min="27" max="27" width="12.25" style="3" hidden="1" customWidth="1"/>
    <col min="28" max="28" width="0" style="3" hidden="1" customWidth="1"/>
    <col min="29" max="30" width="10.5" style="3" customWidth="1"/>
    <col min="31" max="31" width="0" style="3" hidden="1" customWidth="1"/>
    <col min="32" max="32" width="12.875" style="3" hidden="1" customWidth="1"/>
    <col min="33" max="37" width="0" style="3" hidden="1" customWidth="1"/>
    <col min="38" max="40" width="9" style="3"/>
    <col min="41" max="42" width="10.625" style="3" customWidth="1"/>
    <col min="43" max="16384" width="9" style="3"/>
  </cols>
  <sheetData>
    <row r="1" spans="1:44" ht="20.25" customHeight="1" thickBot="1">
      <c r="A1" s="2" t="s">
        <v>614</v>
      </c>
      <c r="F1" s="174"/>
      <c r="G1" s="9" t="s">
        <v>603</v>
      </c>
      <c r="U1" s="2"/>
      <c r="Z1" s="174"/>
      <c r="AA1" s="9" t="s">
        <v>603</v>
      </c>
    </row>
    <row r="2" spans="1:44" ht="20.25" customHeight="1" thickBot="1">
      <c r="F2" s="175"/>
      <c r="G2" s="9" t="s">
        <v>604</v>
      </c>
      <c r="L2" s="121">
        <v>42825</v>
      </c>
      <c r="R2" s="243">
        <f ca="1">TODAY()</f>
        <v>42730</v>
      </c>
      <c r="S2" s="243"/>
      <c r="Z2" s="175"/>
      <c r="AA2" s="9" t="s">
        <v>604</v>
      </c>
      <c r="AD2" s="127" t="s">
        <v>623</v>
      </c>
      <c r="AF2" s="121">
        <v>43190</v>
      </c>
      <c r="AL2" s="243">
        <f ca="1">TODAY()</f>
        <v>42730</v>
      </c>
      <c r="AM2" s="243"/>
      <c r="AO2" s="271" t="s">
        <v>607</v>
      </c>
      <c r="AP2" s="272"/>
      <c r="AQ2" s="273"/>
    </row>
    <row r="3" spans="1:44" ht="24" customHeight="1">
      <c r="A3" s="246" t="s">
        <v>0</v>
      </c>
      <c r="B3" s="252" t="s">
        <v>566</v>
      </c>
      <c r="C3" s="4" t="s">
        <v>1</v>
      </c>
      <c r="D3" s="5" t="s">
        <v>2</v>
      </c>
      <c r="E3" s="6" t="s">
        <v>3</v>
      </c>
      <c r="F3" s="7" t="s">
        <v>4</v>
      </c>
      <c r="G3" s="8" t="s">
        <v>2</v>
      </c>
      <c r="H3" s="6" t="s">
        <v>5</v>
      </c>
      <c r="I3" s="244" t="s">
        <v>609</v>
      </c>
      <c r="J3" s="8" t="s">
        <v>119</v>
      </c>
      <c r="K3" s="5" t="s">
        <v>119</v>
      </c>
      <c r="L3" s="5" t="s">
        <v>120</v>
      </c>
      <c r="M3" s="6" t="s">
        <v>59</v>
      </c>
      <c r="N3" s="6" t="s">
        <v>57</v>
      </c>
      <c r="O3" s="7" t="s">
        <v>57</v>
      </c>
      <c r="P3" s="48" t="s">
        <v>57</v>
      </c>
      <c r="Q3" s="6" t="s">
        <v>57</v>
      </c>
      <c r="R3" s="246" t="s">
        <v>7</v>
      </c>
      <c r="S3" s="247"/>
      <c r="T3" s="9"/>
      <c r="U3" s="246" t="s">
        <v>0</v>
      </c>
      <c r="V3" s="252" t="s">
        <v>566</v>
      </c>
      <c r="W3" s="4" t="s">
        <v>1</v>
      </c>
      <c r="X3" s="5" t="s">
        <v>2</v>
      </c>
      <c r="Y3" s="6" t="s">
        <v>3</v>
      </c>
      <c r="Z3" s="7" t="s">
        <v>4</v>
      </c>
      <c r="AA3" s="8" t="s">
        <v>2</v>
      </c>
      <c r="AB3" s="6" t="s">
        <v>5</v>
      </c>
      <c r="AC3" s="244" t="s">
        <v>606</v>
      </c>
      <c r="AD3" s="8" t="s">
        <v>574</v>
      </c>
      <c r="AE3" s="5" t="s">
        <v>574</v>
      </c>
      <c r="AF3" s="5" t="s">
        <v>575</v>
      </c>
      <c r="AG3" s="6" t="s">
        <v>59</v>
      </c>
      <c r="AH3" s="6" t="s">
        <v>57</v>
      </c>
      <c r="AI3" s="7" t="s">
        <v>57</v>
      </c>
      <c r="AJ3" s="48" t="s">
        <v>57</v>
      </c>
      <c r="AK3" s="6" t="s">
        <v>57</v>
      </c>
      <c r="AL3" s="246" t="s">
        <v>7</v>
      </c>
      <c r="AM3" s="247"/>
      <c r="AO3" s="265" t="s">
        <v>611</v>
      </c>
      <c r="AP3" s="267" t="s">
        <v>612</v>
      </c>
      <c r="AQ3" s="269" t="s">
        <v>613</v>
      </c>
    </row>
    <row r="4" spans="1:44" ht="24" customHeight="1" thickBot="1">
      <c r="A4" s="248"/>
      <c r="B4" s="253"/>
      <c r="C4" s="10" t="s">
        <v>8</v>
      </c>
      <c r="D4" s="11" t="s">
        <v>9</v>
      </c>
      <c r="E4" s="12" t="s">
        <v>10</v>
      </c>
      <c r="F4" s="13" t="s">
        <v>11</v>
      </c>
      <c r="G4" s="14" t="s">
        <v>12</v>
      </c>
      <c r="H4" s="12" t="s">
        <v>13</v>
      </c>
      <c r="I4" s="245"/>
      <c r="J4" s="14" t="s">
        <v>14</v>
      </c>
      <c r="K4" s="11" t="s">
        <v>6</v>
      </c>
      <c r="L4" s="11" t="s">
        <v>13</v>
      </c>
      <c r="M4" s="12" t="s">
        <v>60</v>
      </c>
      <c r="N4" s="12" t="s">
        <v>13</v>
      </c>
      <c r="O4" s="13" t="s">
        <v>58</v>
      </c>
      <c r="P4" s="49" t="s">
        <v>6</v>
      </c>
      <c r="Q4" s="12" t="s">
        <v>61</v>
      </c>
      <c r="R4" s="248"/>
      <c r="S4" s="249"/>
      <c r="T4" s="9"/>
      <c r="U4" s="248"/>
      <c r="V4" s="253"/>
      <c r="W4" s="10" t="s">
        <v>8</v>
      </c>
      <c r="X4" s="11" t="s">
        <v>9</v>
      </c>
      <c r="Y4" s="12" t="s">
        <v>10</v>
      </c>
      <c r="Z4" s="13" t="s">
        <v>11</v>
      </c>
      <c r="AA4" s="14" t="s">
        <v>12</v>
      </c>
      <c r="AB4" s="12" t="s">
        <v>13</v>
      </c>
      <c r="AC4" s="245"/>
      <c r="AD4" s="14" t="s">
        <v>14</v>
      </c>
      <c r="AE4" s="11" t="s">
        <v>6</v>
      </c>
      <c r="AF4" s="11" t="s">
        <v>13</v>
      </c>
      <c r="AG4" s="12" t="s">
        <v>60</v>
      </c>
      <c r="AH4" s="12" t="s">
        <v>13</v>
      </c>
      <c r="AI4" s="13" t="s">
        <v>58</v>
      </c>
      <c r="AJ4" s="49" t="s">
        <v>6</v>
      </c>
      <c r="AK4" s="12" t="s">
        <v>61</v>
      </c>
      <c r="AL4" s="248"/>
      <c r="AM4" s="249"/>
      <c r="AO4" s="266"/>
      <c r="AP4" s="268"/>
      <c r="AQ4" s="270"/>
    </row>
    <row r="5" spans="1:44" ht="24" customHeight="1">
      <c r="A5" s="15" t="s">
        <v>91</v>
      </c>
      <c r="B5" s="120">
        <v>41061</v>
      </c>
      <c r="C5" s="16">
        <v>1400</v>
      </c>
      <c r="D5" s="51">
        <v>41091</v>
      </c>
      <c r="E5" s="52">
        <v>25200</v>
      </c>
      <c r="F5" s="53">
        <v>24070</v>
      </c>
      <c r="G5" s="54">
        <v>41639</v>
      </c>
      <c r="H5" s="52" t="s">
        <v>15</v>
      </c>
      <c r="I5" s="53">
        <v>79800</v>
      </c>
      <c r="J5" s="55">
        <f>I5*K5</f>
        <v>78738.66</v>
      </c>
      <c r="K5" s="56">
        <v>0.98670000000000002</v>
      </c>
      <c r="L5" s="136" t="str">
        <f>DATEDIF(B5,$L$2,"y")&amp;"年"&amp;DATEDIF(B5,$L$2,"ym")&amp;"ヶ月"</f>
        <v>4年9ヶ月</v>
      </c>
      <c r="M5" s="58"/>
      <c r="N5" s="58"/>
      <c r="O5" s="53"/>
      <c r="P5" s="59"/>
      <c r="Q5" s="52">
        <f>O5*P5-F5</f>
        <v>-24070</v>
      </c>
      <c r="R5" s="250" t="s">
        <v>17</v>
      </c>
      <c r="S5" s="251"/>
      <c r="U5" s="15" t="s">
        <v>91</v>
      </c>
      <c r="V5" s="120">
        <v>41061</v>
      </c>
      <c r="W5" s="16">
        <v>1400</v>
      </c>
      <c r="X5" s="51">
        <v>41091</v>
      </c>
      <c r="Y5" s="52">
        <v>25200</v>
      </c>
      <c r="Z5" s="53">
        <v>24070</v>
      </c>
      <c r="AA5" s="54">
        <v>41639</v>
      </c>
      <c r="AB5" s="52" t="s">
        <v>15</v>
      </c>
      <c r="AC5" s="53">
        <v>106600</v>
      </c>
      <c r="AD5" s="55">
        <f>AC5*AE5</f>
        <v>106269.54000000001</v>
      </c>
      <c r="AE5" s="56">
        <v>0.99690000000000001</v>
      </c>
      <c r="AF5" s="136" t="str">
        <f>DATEDIF(V5,$L$2,"y")&amp;"年"&amp;DATEDIF(V5,$L$2,"ym")&amp;"ヶ月"</f>
        <v>4年9ヶ月</v>
      </c>
      <c r="AG5" s="58"/>
      <c r="AH5" s="58"/>
      <c r="AI5" s="53"/>
      <c r="AJ5" s="59">
        <v>1.0064</v>
      </c>
      <c r="AK5" s="52">
        <f>AI5*AJ5-Z5</f>
        <v>-24070</v>
      </c>
      <c r="AL5" s="250" t="s">
        <v>17</v>
      </c>
      <c r="AM5" s="251"/>
      <c r="AO5" s="224">
        <f>AC5-I5</f>
        <v>26800</v>
      </c>
      <c r="AP5" s="225">
        <f>AD5-J5</f>
        <v>27530.880000000005</v>
      </c>
      <c r="AQ5" s="228">
        <f>AP5-AO5</f>
        <v>730.88000000000466</v>
      </c>
    </row>
    <row r="6" spans="1:44" ht="24" customHeight="1">
      <c r="A6" s="15" t="s">
        <v>112</v>
      </c>
      <c r="B6" s="120">
        <v>41760</v>
      </c>
      <c r="C6" s="16">
        <v>1400</v>
      </c>
      <c r="D6" s="51" t="s">
        <v>28</v>
      </c>
      <c r="E6" s="52" t="s">
        <v>28</v>
      </c>
      <c r="F6" s="53" t="s">
        <v>28</v>
      </c>
      <c r="G6" s="54" t="s">
        <v>28</v>
      </c>
      <c r="H6" s="52" t="s">
        <v>28</v>
      </c>
      <c r="I6" s="53">
        <v>47600</v>
      </c>
      <c r="J6" s="55">
        <f>I6*K6</f>
        <v>46467.119999999995</v>
      </c>
      <c r="K6" s="56">
        <v>0.97619999999999996</v>
      </c>
      <c r="L6" s="136" t="str">
        <f t="shared" ref="L6:L29" si="0">DATEDIF(B6,$L$2,"y")&amp;"年"&amp;DATEDIF(B6,$L$2,"ym")&amp;"ヶ月"</f>
        <v>2年10ヶ月</v>
      </c>
      <c r="M6" s="58"/>
      <c r="N6" s="58"/>
      <c r="O6" s="53"/>
      <c r="P6" s="59"/>
      <c r="Q6" s="52" t="e">
        <f t="shared" ref="Q6:Q21" si="1">O6*P6-F6</f>
        <v>#VALUE!</v>
      </c>
      <c r="R6" s="163" t="s">
        <v>23</v>
      </c>
      <c r="S6" s="164"/>
      <c r="U6" s="15" t="s">
        <v>112</v>
      </c>
      <c r="V6" s="120">
        <v>41760</v>
      </c>
      <c r="W6" s="16">
        <v>1400</v>
      </c>
      <c r="X6" s="51" t="s">
        <v>28</v>
      </c>
      <c r="Y6" s="52" t="s">
        <v>28</v>
      </c>
      <c r="Z6" s="53" t="s">
        <v>28</v>
      </c>
      <c r="AA6" s="54" t="s">
        <v>28</v>
      </c>
      <c r="AB6" s="52" t="s">
        <v>28</v>
      </c>
      <c r="AC6" s="53">
        <v>64400</v>
      </c>
      <c r="AD6" s="55">
        <f t="shared" ref="AD6:AD29" si="2">AC6*AE6</f>
        <v>63330.960000000006</v>
      </c>
      <c r="AE6" s="56">
        <v>0.98340000000000005</v>
      </c>
      <c r="AF6" s="136" t="str">
        <f t="shared" ref="AF6:AF29" si="3">DATEDIF(V6,$L$2,"y")&amp;"年"&amp;DATEDIF(V6,$L$2,"ym")&amp;"ヶ月"</f>
        <v>2年10ヶ月</v>
      </c>
      <c r="AG6" s="58"/>
      <c r="AH6" s="58"/>
      <c r="AI6" s="53"/>
      <c r="AJ6" s="59"/>
      <c r="AK6" s="52" t="e">
        <f t="shared" ref="AK6:AK21" si="4">AI6*AJ6-Z6</f>
        <v>#VALUE!</v>
      </c>
      <c r="AL6" s="163" t="s">
        <v>23</v>
      </c>
      <c r="AM6" s="164"/>
      <c r="AO6" s="218">
        <f t="shared" ref="AO6:AO29" si="5">AC6-I6</f>
        <v>16800</v>
      </c>
      <c r="AP6" s="219">
        <f t="shared" ref="AP6:AP29" si="6">AD6-J6</f>
        <v>16863.840000000011</v>
      </c>
      <c r="AQ6" s="227">
        <f t="shared" ref="AQ6:AQ29" si="7">AP6-AO6</f>
        <v>63.840000000011059</v>
      </c>
    </row>
    <row r="7" spans="1:44" ht="24" customHeight="1">
      <c r="A7" s="34" t="s">
        <v>55</v>
      </c>
      <c r="B7" s="169">
        <v>42095</v>
      </c>
      <c r="C7" s="35">
        <v>1400</v>
      </c>
      <c r="D7" s="36" t="s">
        <v>28</v>
      </c>
      <c r="E7" s="37" t="s">
        <v>28</v>
      </c>
      <c r="F7" s="38" t="s">
        <v>28</v>
      </c>
      <c r="G7" s="39" t="s">
        <v>28</v>
      </c>
      <c r="H7" s="37" t="s">
        <v>28</v>
      </c>
      <c r="I7" s="38">
        <v>19600</v>
      </c>
      <c r="J7" s="46">
        <f>I7*K7+180000</f>
        <v>198427.92</v>
      </c>
      <c r="K7" s="40">
        <v>0.94020000000000004</v>
      </c>
      <c r="L7" s="173" t="str">
        <f t="shared" si="0"/>
        <v>1年11ヶ月</v>
      </c>
      <c r="M7" s="41"/>
      <c r="N7" s="41"/>
      <c r="O7" s="38"/>
      <c r="P7" s="50"/>
      <c r="Q7" s="37" t="e">
        <f t="shared" si="1"/>
        <v>#VALUE!</v>
      </c>
      <c r="R7" s="161" t="s">
        <v>47</v>
      </c>
      <c r="S7" s="162"/>
      <c r="U7" s="15"/>
      <c r="V7" s="120"/>
      <c r="W7" s="16"/>
      <c r="X7" s="51"/>
      <c r="Y7" s="52"/>
      <c r="Z7" s="53"/>
      <c r="AA7" s="54"/>
      <c r="AB7" s="52"/>
      <c r="AC7" s="53"/>
      <c r="AD7" s="55"/>
      <c r="AE7" s="56"/>
      <c r="AF7" s="136"/>
      <c r="AG7" s="58"/>
      <c r="AH7" s="58"/>
      <c r="AI7" s="53"/>
      <c r="AJ7" s="59"/>
      <c r="AK7" s="52"/>
      <c r="AL7" s="163"/>
      <c r="AM7" s="164"/>
      <c r="AO7" s="220"/>
      <c r="AP7" s="221"/>
      <c r="AQ7" s="229"/>
      <c r="AR7" s="3" t="s">
        <v>615</v>
      </c>
    </row>
    <row r="8" spans="1:44" ht="24" customHeight="1">
      <c r="A8" s="15" t="s">
        <v>592</v>
      </c>
      <c r="B8" s="120">
        <v>42125</v>
      </c>
      <c r="C8" s="16">
        <v>1400</v>
      </c>
      <c r="D8" s="51" t="s">
        <v>28</v>
      </c>
      <c r="E8" s="52" t="s">
        <v>28</v>
      </c>
      <c r="F8" s="53" t="s">
        <v>28</v>
      </c>
      <c r="G8" s="54" t="s">
        <v>28</v>
      </c>
      <c r="H8" s="52" t="s">
        <v>28</v>
      </c>
      <c r="I8" s="53">
        <v>30800</v>
      </c>
      <c r="J8" s="55">
        <f>I8*K8</f>
        <v>29589.56</v>
      </c>
      <c r="K8" s="56">
        <v>0.9607</v>
      </c>
      <c r="L8" s="136" t="str">
        <f t="shared" si="0"/>
        <v>1年10ヶ月</v>
      </c>
      <c r="M8" s="58"/>
      <c r="N8" s="58"/>
      <c r="O8" s="53"/>
      <c r="P8" s="59"/>
      <c r="Q8" s="52" t="e">
        <f t="shared" si="1"/>
        <v>#VALUE!</v>
      </c>
      <c r="R8" s="163" t="s">
        <v>20</v>
      </c>
      <c r="S8" s="164"/>
      <c r="U8" s="15" t="s">
        <v>592</v>
      </c>
      <c r="V8" s="120">
        <v>42125</v>
      </c>
      <c r="W8" s="16">
        <v>1400</v>
      </c>
      <c r="X8" s="51" t="s">
        <v>28</v>
      </c>
      <c r="Y8" s="52" t="s">
        <v>28</v>
      </c>
      <c r="Z8" s="53" t="s">
        <v>28</v>
      </c>
      <c r="AA8" s="54" t="s">
        <v>28</v>
      </c>
      <c r="AB8" s="52" t="s">
        <v>28</v>
      </c>
      <c r="AC8" s="53">
        <v>47600</v>
      </c>
      <c r="AD8" s="55">
        <f t="shared" si="2"/>
        <v>46467.119999999995</v>
      </c>
      <c r="AE8" s="56">
        <v>0.97619999999999996</v>
      </c>
      <c r="AF8" s="136" t="str">
        <f t="shared" si="3"/>
        <v>1年10ヶ月</v>
      </c>
      <c r="AG8" s="58"/>
      <c r="AH8" s="58"/>
      <c r="AI8" s="53"/>
      <c r="AJ8" s="59"/>
      <c r="AK8" s="52" t="e">
        <f t="shared" si="4"/>
        <v>#VALUE!</v>
      </c>
      <c r="AL8" s="163" t="s">
        <v>20</v>
      </c>
      <c r="AM8" s="164"/>
      <c r="AO8" s="218">
        <f t="shared" si="5"/>
        <v>16800</v>
      </c>
      <c r="AP8" s="219">
        <f t="shared" si="6"/>
        <v>16877.559999999994</v>
      </c>
      <c r="AQ8" s="227">
        <f t="shared" si="7"/>
        <v>77.559999999994034</v>
      </c>
    </row>
    <row r="9" spans="1:44" ht="24" customHeight="1">
      <c r="A9" s="15" t="s">
        <v>56</v>
      </c>
      <c r="B9" s="120">
        <v>42125</v>
      </c>
      <c r="C9" s="16">
        <v>1400</v>
      </c>
      <c r="D9" s="62" t="s">
        <v>28</v>
      </c>
      <c r="E9" s="52" t="s">
        <v>28</v>
      </c>
      <c r="F9" s="53" t="s">
        <v>28</v>
      </c>
      <c r="G9" s="63" t="s">
        <v>28</v>
      </c>
      <c r="H9" s="52" t="s">
        <v>28</v>
      </c>
      <c r="I9" s="53">
        <v>30800</v>
      </c>
      <c r="J9" s="55">
        <f>I9*K9</f>
        <v>29589.56</v>
      </c>
      <c r="K9" s="56">
        <v>0.9607</v>
      </c>
      <c r="L9" s="136" t="str">
        <f t="shared" si="0"/>
        <v>1年10ヶ月</v>
      </c>
      <c r="M9" s="58"/>
      <c r="N9" s="58"/>
      <c r="O9" s="53"/>
      <c r="P9" s="59"/>
      <c r="Q9" s="52" t="e">
        <f t="shared" si="1"/>
        <v>#VALUE!</v>
      </c>
      <c r="R9" s="250" t="s">
        <v>111</v>
      </c>
      <c r="S9" s="251"/>
      <c r="U9" s="15" t="s">
        <v>56</v>
      </c>
      <c r="V9" s="120">
        <v>42125</v>
      </c>
      <c r="W9" s="16">
        <v>1400</v>
      </c>
      <c r="X9" s="62" t="s">
        <v>28</v>
      </c>
      <c r="Y9" s="52" t="s">
        <v>28</v>
      </c>
      <c r="Z9" s="53" t="s">
        <v>28</v>
      </c>
      <c r="AA9" s="63" t="s">
        <v>28</v>
      </c>
      <c r="AB9" s="52" t="s">
        <v>28</v>
      </c>
      <c r="AC9" s="53">
        <v>47600</v>
      </c>
      <c r="AD9" s="55">
        <f t="shared" si="2"/>
        <v>46467.119999999995</v>
      </c>
      <c r="AE9" s="56">
        <v>0.97619999999999996</v>
      </c>
      <c r="AF9" s="136" t="str">
        <f t="shared" si="3"/>
        <v>1年10ヶ月</v>
      </c>
      <c r="AG9" s="58"/>
      <c r="AH9" s="58"/>
      <c r="AI9" s="53"/>
      <c r="AJ9" s="59"/>
      <c r="AK9" s="52" t="e">
        <f t="shared" si="4"/>
        <v>#VALUE!</v>
      </c>
      <c r="AL9" s="250" t="s">
        <v>111</v>
      </c>
      <c r="AM9" s="251"/>
      <c r="AO9" s="218">
        <f t="shared" si="5"/>
        <v>16800</v>
      </c>
      <c r="AP9" s="219">
        <f t="shared" si="6"/>
        <v>16877.559999999994</v>
      </c>
      <c r="AQ9" s="227">
        <f t="shared" si="7"/>
        <v>77.559999999994034</v>
      </c>
    </row>
    <row r="10" spans="1:44" ht="24" hidden="1" customHeight="1">
      <c r="A10" s="15"/>
      <c r="B10" s="120"/>
      <c r="C10" s="16"/>
      <c r="D10" s="62"/>
      <c r="E10" s="52"/>
      <c r="F10" s="53"/>
      <c r="G10" s="63"/>
      <c r="H10" s="52"/>
      <c r="I10" s="53"/>
      <c r="J10" s="55"/>
      <c r="K10" s="56"/>
      <c r="L10" s="136"/>
      <c r="M10" s="122"/>
      <c r="N10" s="58"/>
      <c r="O10" s="53"/>
      <c r="P10" s="59"/>
      <c r="Q10" s="52"/>
      <c r="R10" s="163"/>
      <c r="S10" s="164"/>
      <c r="U10" s="15"/>
      <c r="V10" s="120"/>
      <c r="W10" s="16"/>
      <c r="X10" s="62"/>
      <c r="Y10" s="52"/>
      <c r="Z10" s="53"/>
      <c r="AA10" s="63"/>
      <c r="AB10" s="52"/>
      <c r="AC10" s="53"/>
      <c r="AD10" s="55"/>
      <c r="AE10" s="56"/>
      <c r="AF10" s="136"/>
      <c r="AG10" s="122"/>
      <c r="AH10" s="58"/>
      <c r="AI10" s="53"/>
      <c r="AJ10" s="59"/>
      <c r="AK10" s="52"/>
      <c r="AL10" s="163"/>
      <c r="AM10" s="164"/>
      <c r="AO10" s="218"/>
      <c r="AP10" s="219"/>
      <c r="AQ10" s="227">
        <f t="shared" si="7"/>
        <v>0</v>
      </c>
    </row>
    <row r="11" spans="1:44" ht="24" customHeight="1">
      <c r="A11" s="140" t="s">
        <v>85</v>
      </c>
      <c r="B11" s="141">
        <v>40664</v>
      </c>
      <c r="C11" s="142">
        <v>1400</v>
      </c>
      <c r="D11" s="143">
        <v>40695</v>
      </c>
      <c r="E11" s="144">
        <v>43400</v>
      </c>
      <c r="F11" s="47">
        <v>42350</v>
      </c>
      <c r="G11" s="145">
        <v>41639</v>
      </c>
      <c r="H11" s="144" t="s">
        <v>19</v>
      </c>
      <c r="I11" s="47">
        <v>94600</v>
      </c>
      <c r="J11" s="146">
        <f>I11*K11</f>
        <v>93814.82</v>
      </c>
      <c r="K11" s="147">
        <v>0.99170000000000003</v>
      </c>
      <c r="L11" s="148" t="s">
        <v>66</v>
      </c>
      <c r="M11" s="149">
        <v>42626</v>
      </c>
      <c r="N11" s="149" t="s">
        <v>66</v>
      </c>
      <c r="O11" s="47">
        <v>94600</v>
      </c>
      <c r="P11" s="150">
        <v>0.99170000000000003</v>
      </c>
      <c r="Q11" s="144">
        <f>O11*P11-F11</f>
        <v>51464.820000000007</v>
      </c>
      <c r="R11" s="262" t="s">
        <v>117</v>
      </c>
      <c r="S11" s="263"/>
      <c r="U11" s="15"/>
      <c r="V11" s="120"/>
      <c r="W11" s="16"/>
      <c r="X11" s="62"/>
      <c r="Y11" s="52"/>
      <c r="Z11" s="53"/>
      <c r="AA11" s="63"/>
      <c r="AB11" s="52"/>
      <c r="AC11" s="53"/>
      <c r="AD11" s="55"/>
      <c r="AE11" s="56"/>
      <c r="AF11" s="136"/>
      <c r="AG11" s="122"/>
      <c r="AH11" s="58"/>
      <c r="AI11" s="53"/>
      <c r="AJ11" s="59"/>
      <c r="AK11" s="52"/>
      <c r="AL11" s="163"/>
      <c r="AM11" s="164"/>
      <c r="AO11" s="220"/>
      <c r="AP11" s="221"/>
      <c r="AQ11" s="229"/>
      <c r="AR11" s="3" t="s">
        <v>616</v>
      </c>
    </row>
    <row r="12" spans="1:44" ht="24" hidden="1" customHeight="1">
      <c r="A12" s="15"/>
      <c r="B12" s="120"/>
      <c r="C12" s="16"/>
      <c r="D12" s="51"/>
      <c r="E12" s="52"/>
      <c r="F12" s="64"/>
      <c r="G12" s="54"/>
      <c r="H12" s="52"/>
      <c r="I12" s="53"/>
      <c r="J12" s="55"/>
      <c r="K12" s="56"/>
      <c r="L12" s="136"/>
      <c r="M12" s="58"/>
      <c r="N12" s="58"/>
      <c r="O12" s="53"/>
      <c r="P12" s="59"/>
      <c r="Q12" s="52"/>
      <c r="R12" s="163"/>
      <c r="S12" s="164"/>
      <c r="U12" s="15"/>
      <c r="V12" s="120"/>
      <c r="W12" s="16"/>
      <c r="X12" s="51"/>
      <c r="Y12" s="52"/>
      <c r="Z12" s="64"/>
      <c r="AA12" s="54"/>
      <c r="AB12" s="52"/>
      <c r="AC12" s="53"/>
      <c r="AD12" s="55"/>
      <c r="AE12" s="56"/>
      <c r="AF12" s="136"/>
      <c r="AG12" s="58"/>
      <c r="AH12" s="58"/>
      <c r="AI12" s="53"/>
      <c r="AJ12" s="59"/>
      <c r="AK12" s="52"/>
      <c r="AL12" s="163"/>
      <c r="AM12" s="164"/>
      <c r="AO12" s="218"/>
      <c r="AP12" s="219"/>
      <c r="AQ12" s="227">
        <f t="shared" si="7"/>
        <v>0</v>
      </c>
    </row>
    <row r="13" spans="1:44" ht="24" customHeight="1">
      <c r="A13" s="15" t="s">
        <v>38</v>
      </c>
      <c r="B13" s="120">
        <v>39173</v>
      </c>
      <c r="C13" s="16">
        <v>3400</v>
      </c>
      <c r="D13" s="51">
        <v>39539</v>
      </c>
      <c r="E13" s="52">
        <v>123800</v>
      </c>
      <c r="F13" s="64">
        <v>122990</v>
      </c>
      <c r="G13" s="54">
        <v>41729</v>
      </c>
      <c r="H13" s="52" t="s">
        <v>52</v>
      </c>
      <c r="I13" s="53">
        <v>250600</v>
      </c>
      <c r="J13" s="55">
        <f t="shared" ref="J13:J22" si="8">I13*K13</f>
        <v>251401.92</v>
      </c>
      <c r="K13" s="56">
        <v>1.0032000000000001</v>
      </c>
      <c r="L13" s="136" t="str">
        <f t="shared" si="0"/>
        <v>9年11ヶ月</v>
      </c>
      <c r="M13" s="58"/>
      <c r="N13" s="58"/>
      <c r="O13" s="53"/>
      <c r="P13" s="59"/>
      <c r="Q13" s="52">
        <f t="shared" si="1"/>
        <v>-122990</v>
      </c>
      <c r="R13" s="163" t="s">
        <v>605</v>
      </c>
      <c r="S13" s="164"/>
      <c r="U13" s="140" t="s">
        <v>38</v>
      </c>
      <c r="V13" s="141">
        <v>39173</v>
      </c>
      <c r="W13" s="142">
        <v>3400</v>
      </c>
      <c r="X13" s="143">
        <v>39539</v>
      </c>
      <c r="Y13" s="144">
        <v>123800</v>
      </c>
      <c r="Z13" s="151">
        <v>122990</v>
      </c>
      <c r="AA13" s="145">
        <v>41729</v>
      </c>
      <c r="AB13" s="144" t="s">
        <v>52</v>
      </c>
      <c r="AC13" s="47">
        <v>290200</v>
      </c>
      <c r="AD13" s="146">
        <f t="shared" si="2"/>
        <v>291825.12</v>
      </c>
      <c r="AE13" s="147">
        <v>1.0056</v>
      </c>
      <c r="AF13" s="148" t="str">
        <f>DATEDIF(V13,$M$11,"y")&amp;"年"&amp;DATEDIF(V13,$M$11,"ym")&amp;"ヶ月"</f>
        <v>9年5ヶ月</v>
      </c>
      <c r="AG13" s="149">
        <v>43097</v>
      </c>
      <c r="AH13" s="149"/>
      <c r="AI13" s="47"/>
      <c r="AJ13" s="150">
        <v>1.0056</v>
      </c>
      <c r="AK13" s="144">
        <f t="shared" si="4"/>
        <v>-122990</v>
      </c>
      <c r="AL13" s="165" t="s">
        <v>48</v>
      </c>
      <c r="AM13" s="166"/>
      <c r="AO13" s="218">
        <f t="shared" si="5"/>
        <v>39600</v>
      </c>
      <c r="AP13" s="219">
        <f t="shared" si="6"/>
        <v>40423.199999999983</v>
      </c>
      <c r="AQ13" s="227">
        <f t="shared" si="7"/>
        <v>823.19999999998254</v>
      </c>
    </row>
    <row r="14" spans="1:44" ht="24" customHeight="1">
      <c r="A14" s="140" t="s">
        <v>39</v>
      </c>
      <c r="B14" s="141">
        <v>38108</v>
      </c>
      <c r="C14" s="142">
        <v>4400</v>
      </c>
      <c r="D14" s="143">
        <v>38139</v>
      </c>
      <c r="E14" s="144">
        <v>247200</v>
      </c>
      <c r="F14" s="151">
        <v>249190</v>
      </c>
      <c r="G14" s="145">
        <v>41729</v>
      </c>
      <c r="H14" s="144" t="s">
        <v>49</v>
      </c>
      <c r="I14" s="47">
        <v>395800</v>
      </c>
      <c r="J14" s="146">
        <f t="shared" si="8"/>
        <v>400549.6</v>
      </c>
      <c r="K14" s="147">
        <v>1.012</v>
      </c>
      <c r="L14" s="148" t="s">
        <v>92</v>
      </c>
      <c r="M14" s="149">
        <v>42765</v>
      </c>
      <c r="N14" s="149" t="s">
        <v>92</v>
      </c>
      <c r="O14" s="47">
        <v>395800</v>
      </c>
      <c r="P14" s="150">
        <v>1.012</v>
      </c>
      <c r="Q14" s="144">
        <f t="shared" si="1"/>
        <v>151359.59999999998</v>
      </c>
      <c r="R14" s="165" t="s">
        <v>605</v>
      </c>
      <c r="S14" s="166"/>
      <c r="U14" s="15"/>
      <c r="V14" s="120"/>
      <c r="W14" s="16"/>
      <c r="X14" s="51"/>
      <c r="Y14" s="52"/>
      <c r="Z14" s="64"/>
      <c r="AA14" s="54"/>
      <c r="AB14" s="52"/>
      <c r="AC14" s="53"/>
      <c r="AD14" s="55"/>
      <c r="AE14" s="56"/>
      <c r="AF14" s="136"/>
      <c r="AG14" s="58"/>
      <c r="AH14" s="58"/>
      <c r="AI14" s="53"/>
      <c r="AJ14" s="59"/>
      <c r="AK14" s="52"/>
      <c r="AL14" s="163"/>
      <c r="AM14" s="164"/>
      <c r="AO14" s="220"/>
      <c r="AP14" s="221"/>
      <c r="AQ14" s="229"/>
      <c r="AR14" s="3" t="s">
        <v>617</v>
      </c>
    </row>
    <row r="15" spans="1:44" ht="24" customHeight="1">
      <c r="A15" s="15" t="s">
        <v>40</v>
      </c>
      <c r="B15" s="120">
        <v>38473</v>
      </c>
      <c r="C15" s="16">
        <v>4400</v>
      </c>
      <c r="D15" s="51">
        <v>38504</v>
      </c>
      <c r="E15" s="52">
        <v>206400</v>
      </c>
      <c r="F15" s="64">
        <v>207300</v>
      </c>
      <c r="G15" s="54">
        <v>41729</v>
      </c>
      <c r="H15" s="52" t="s">
        <v>50</v>
      </c>
      <c r="I15" s="53">
        <v>351800</v>
      </c>
      <c r="J15" s="55">
        <f t="shared" si="8"/>
        <v>355106.92000000004</v>
      </c>
      <c r="K15" s="56">
        <v>1.0094000000000001</v>
      </c>
      <c r="L15" s="136" t="str">
        <f t="shared" si="0"/>
        <v>11年10ヶ月</v>
      </c>
      <c r="M15" s="58"/>
      <c r="N15" s="58"/>
      <c r="O15" s="53"/>
      <c r="P15" s="59"/>
      <c r="Q15" s="52">
        <f t="shared" si="1"/>
        <v>-207300</v>
      </c>
      <c r="R15" s="163" t="s">
        <v>605</v>
      </c>
      <c r="S15" s="164"/>
      <c r="U15" s="15" t="s">
        <v>40</v>
      </c>
      <c r="V15" s="120">
        <v>38473</v>
      </c>
      <c r="W15" s="16">
        <v>4400</v>
      </c>
      <c r="X15" s="51">
        <v>38504</v>
      </c>
      <c r="Y15" s="52">
        <v>206400</v>
      </c>
      <c r="Z15" s="64">
        <v>207300</v>
      </c>
      <c r="AA15" s="54">
        <v>41729</v>
      </c>
      <c r="AB15" s="52" t="s">
        <v>50</v>
      </c>
      <c r="AC15" s="53">
        <v>404600</v>
      </c>
      <c r="AD15" s="55">
        <f t="shared" si="2"/>
        <v>409697.95999999996</v>
      </c>
      <c r="AE15" s="56">
        <v>1.0125999999999999</v>
      </c>
      <c r="AF15" s="136" t="str">
        <f t="shared" si="3"/>
        <v>11年10ヶ月</v>
      </c>
      <c r="AG15" s="58"/>
      <c r="AH15" s="58"/>
      <c r="AI15" s="53"/>
      <c r="AJ15" s="59"/>
      <c r="AK15" s="52">
        <f t="shared" si="4"/>
        <v>-207300</v>
      </c>
      <c r="AL15" s="163" t="s">
        <v>48</v>
      </c>
      <c r="AM15" s="164"/>
      <c r="AO15" s="218">
        <f t="shared" si="5"/>
        <v>52800</v>
      </c>
      <c r="AP15" s="219">
        <f t="shared" si="6"/>
        <v>54591.039999999921</v>
      </c>
      <c r="AQ15" s="227">
        <f t="shared" si="7"/>
        <v>1791.0399999999208</v>
      </c>
    </row>
    <row r="16" spans="1:44" ht="24" customHeight="1">
      <c r="A16" s="15" t="s">
        <v>41</v>
      </c>
      <c r="B16" s="120">
        <v>38473</v>
      </c>
      <c r="C16" s="16">
        <v>4400</v>
      </c>
      <c r="D16" s="51">
        <v>38504</v>
      </c>
      <c r="E16" s="52">
        <v>206400</v>
      </c>
      <c r="F16" s="64">
        <v>207300</v>
      </c>
      <c r="G16" s="54">
        <v>41729</v>
      </c>
      <c r="H16" s="52" t="s">
        <v>50</v>
      </c>
      <c r="I16" s="53">
        <v>351800</v>
      </c>
      <c r="J16" s="55">
        <f t="shared" si="8"/>
        <v>355106.92000000004</v>
      </c>
      <c r="K16" s="56">
        <v>1.0094000000000001</v>
      </c>
      <c r="L16" s="136" t="str">
        <f t="shared" si="0"/>
        <v>11年10ヶ月</v>
      </c>
      <c r="M16" s="58"/>
      <c r="N16" s="58"/>
      <c r="O16" s="53"/>
      <c r="P16" s="59"/>
      <c r="Q16" s="52">
        <f t="shared" si="1"/>
        <v>-207300</v>
      </c>
      <c r="R16" s="163" t="s">
        <v>605</v>
      </c>
      <c r="S16" s="164"/>
      <c r="U16" s="15" t="s">
        <v>41</v>
      </c>
      <c r="V16" s="120">
        <v>38473</v>
      </c>
      <c r="W16" s="16">
        <v>4400</v>
      </c>
      <c r="X16" s="51">
        <v>38504</v>
      </c>
      <c r="Y16" s="52">
        <v>206400</v>
      </c>
      <c r="Z16" s="64">
        <v>207300</v>
      </c>
      <c r="AA16" s="54">
        <v>41729</v>
      </c>
      <c r="AB16" s="52" t="s">
        <v>50</v>
      </c>
      <c r="AC16" s="53">
        <v>404600</v>
      </c>
      <c r="AD16" s="55">
        <f t="shared" si="2"/>
        <v>409697.95999999996</v>
      </c>
      <c r="AE16" s="56">
        <v>1.0125999999999999</v>
      </c>
      <c r="AF16" s="136" t="str">
        <f t="shared" si="3"/>
        <v>11年10ヶ月</v>
      </c>
      <c r="AG16" s="58"/>
      <c r="AH16" s="58"/>
      <c r="AI16" s="53"/>
      <c r="AJ16" s="59"/>
      <c r="AK16" s="52">
        <f t="shared" si="4"/>
        <v>-207300</v>
      </c>
      <c r="AL16" s="163" t="s">
        <v>48</v>
      </c>
      <c r="AM16" s="164"/>
      <c r="AO16" s="218">
        <f t="shared" si="5"/>
        <v>52800</v>
      </c>
      <c r="AP16" s="219">
        <f t="shared" si="6"/>
        <v>54591.039999999921</v>
      </c>
      <c r="AQ16" s="227">
        <f t="shared" si="7"/>
        <v>1791.0399999999208</v>
      </c>
    </row>
    <row r="17" spans="1:44" ht="24" customHeight="1">
      <c r="A17" s="15" t="s">
        <v>42</v>
      </c>
      <c r="B17" s="120">
        <v>41030</v>
      </c>
      <c r="C17" s="16">
        <v>1400</v>
      </c>
      <c r="D17" s="51">
        <v>41061</v>
      </c>
      <c r="E17" s="52">
        <v>30800</v>
      </c>
      <c r="F17" s="64">
        <v>29680</v>
      </c>
      <c r="G17" s="54">
        <v>41729</v>
      </c>
      <c r="H17" s="52" t="s">
        <v>51</v>
      </c>
      <c r="I17" s="53">
        <v>81200</v>
      </c>
      <c r="J17" s="55">
        <f t="shared" si="8"/>
        <v>80144.399999999994</v>
      </c>
      <c r="K17" s="56">
        <v>0.98699999999999999</v>
      </c>
      <c r="L17" s="136" t="str">
        <f t="shared" si="0"/>
        <v>4年10ヶ月</v>
      </c>
      <c r="M17" s="58"/>
      <c r="N17" s="58"/>
      <c r="O17" s="53"/>
      <c r="P17" s="59"/>
      <c r="Q17" s="52">
        <f t="shared" si="1"/>
        <v>-29680</v>
      </c>
      <c r="R17" s="163" t="s">
        <v>605</v>
      </c>
      <c r="S17" s="164"/>
      <c r="U17" s="15" t="s">
        <v>42</v>
      </c>
      <c r="V17" s="120">
        <v>41030</v>
      </c>
      <c r="W17" s="16">
        <v>1400</v>
      </c>
      <c r="X17" s="51">
        <v>41061</v>
      </c>
      <c r="Y17" s="52">
        <v>30800</v>
      </c>
      <c r="Z17" s="64">
        <v>29680</v>
      </c>
      <c r="AA17" s="54">
        <v>41729</v>
      </c>
      <c r="AB17" s="52" t="s">
        <v>51</v>
      </c>
      <c r="AC17" s="53">
        <v>109000</v>
      </c>
      <c r="AD17" s="55">
        <f t="shared" si="2"/>
        <v>108771.1</v>
      </c>
      <c r="AE17" s="56">
        <v>0.99790000000000001</v>
      </c>
      <c r="AF17" s="136" t="str">
        <f t="shared" si="3"/>
        <v>4年10ヶ月</v>
      </c>
      <c r="AG17" s="58"/>
      <c r="AH17" s="58"/>
      <c r="AI17" s="53"/>
      <c r="AJ17" s="59">
        <v>1.0062</v>
      </c>
      <c r="AK17" s="52">
        <f t="shared" si="4"/>
        <v>-29680</v>
      </c>
      <c r="AL17" s="163" t="s">
        <v>48</v>
      </c>
      <c r="AM17" s="164"/>
      <c r="AO17" s="218">
        <f t="shared" si="5"/>
        <v>27800</v>
      </c>
      <c r="AP17" s="219">
        <f t="shared" si="6"/>
        <v>28626.700000000012</v>
      </c>
      <c r="AQ17" s="227">
        <f t="shared" si="7"/>
        <v>826.70000000001164</v>
      </c>
    </row>
    <row r="18" spans="1:44" ht="24" customHeight="1">
      <c r="A18" s="15" t="s">
        <v>43</v>
      </c>
      <c r="B18" s="120">
        <v>41030</v>
      </c>
      <c r="C18" s="16">
        <v>1400</v>
      </c>
      <c r="D18" s="51">
        <v>41061</v>
      </c>
      <c r="E18" s="52">
        <v>30800</v>
      </c>
      <c r="F18" s="64">
        <v>29680</v>
      </c>
      <c r="G18" s="54">
        <v>41729</v>
      </c>
      <c r="H18" s="52" t="s">
        <v>51</v>
      </c>
      <c r="I18" s="53">
        <v>81200</v>
      </c>
      <c r="J18" s="55">
        <f t="shared" si="8"/>
        <v>80144.399999999994</v>
      </c>
      <c r="K18" s="56">
        <v>0.98699999999999999</v>
      </c>
      <c r="L18" s="136" t="str">
        <f t="shared" si="0"/>
        <v>4年10ヶ月</v>
      </c>
      <c r="M18" s="58"/>
      <c r="N18" s="58"/>
      <c r="O18" s="53"/>
      <c r="P18" s="59"/>
      <c r="Q18" s="52">
        <f t="shared" si="1"/>
        <v>-29680</v>
      </c>
      <c r="R18" s="163" t="s">
        <v>605</v>
      </c>
      <c r="S18" s="164"/>
      <c r="U18" s="15" t="s">
        <v>43</v>
      </c>
      <c r="V18" s="120">
        <v>41030</v>
      </c>
      <c r="W18" s="16">
        <v>1400</v>
      </c>
      <c r="X18" s="51">
        <v>41061</v>
      </c>
      <c r="Y18" s="52">
        <v>30800</v>
      </c>
      <c r="Z18" s="64">
        <v>29680</v>
      </c>
      <c r="AA18" s="54">
        <v>41729</v>
      </c>
      <c r="AB18" s="52" t="s">
        <v>51</v>
      </c>
      <c r="AC18" s="53">
        <v>109000</v>
      </c>
      <c r="AD18" s="55">
        <f t="shared" si="2"/>
        <v>108771.1</v>
      </c>
      <c r="AE18" s="56">
        <v>0.99790000000000001</v>
      </c>
      <c r="AF18" s="136" t="str">
        <f t="shared" si="3"/>
        <v>4年10ヶ月</v>
      </c>
      <c r="AG18" s="58"/>
      <c r="AH18" s="58"/>
      <c r="AI18" s="53"/>
      <c r="AJ18" s="59"/>
      <c r="AK18" s="52">
        <f t="shared" si="4"/>
        <v>-29680</v>
      </c>
      <c r="AL18" s="163" t="s">
        <v>48</v>
      </c>
      <c r="AM18" s="164"/>
      <c r="AO18" s="218">
        <f t="shared" si="5"/>
        <v>27800</v>
      </c>
      <c r="AP18" s="219">
        <f t="shared" si="6"/>
        <v>28626.700000000012</v>
      </c>
      <c r="AQ18" s="227">
        <f t="shared" si="7"/>
        <v>826.70000000001164</v>
      </c>
    </row>
    <row r="19" spans="1:44" ht="24" customHeight="1">
      <c r="A19" s="15" t="s">
        <v>588</v>
      </c>
      <c r="B19" s="120">
        <v>41944</v>
      </c>
      <c r="C19" s="16">
        <v>1400</v>
      </c>
      <c r="D19" s="51" t="s">
        <v>28</v>
      </c>
      <c r="E19" s="52" t="s">
        <v>28</v>
      </c>
      <c r="F19" s="64" t="s">
        <v>28</v>
      </c>
      <c r="G19" s="54" t="s">
        <v>28</v>
      </c>
      <c r="H19" s="52" t="s">
        <v>28</v>
      </c>
      <c r="I19" s="53">
        <v>39200</v>
      </c>
      <c r="J19" s="55">
        <f t="shared" si="8"/>
        <v>38024</v>
      </c>
      <c r="K19" s="56">
        <v>0.97</v>
      </c>
      <c r="L19" s="136" t="str">
        <f t="shared" si="0"/>
        <v>2年4ヶ月</v>
      </c>
      <c r="M19" s="58"/>
      <c r="N19" s="58"/>
      <c r="O19" s="53"/>
      <c r="P19" s="59"/>
      <c r="Q19" s="52" t="e">
        <f t="shared" si="1"/>
        <v>#VALUE!</v>
      </c>
      <c r="R19" s="163" t="s">
        <v>605</v>
      </c>
      <c r="S19" s="164"/>
      <c r="U19" s="15" t="s">
        <v>588</v>
      </c>
      <c r="V19" s="120">
        <v>41944</v>
      </c>
      <c r="W19" s="16">
        <v>1400</v>
      </c>
      <c r="X19" s="51" t="s">
        <v>28</v>
      </c>
      <c r="Y19" s="52" t="s">
        <v>28</v>
      </c>
      <c r="Z19" s="64" t="s">
        <v>28</v>
      </c>
      <c r="AA19" s="54" t="s">
        <v>28</v>
      </c>
      <c r="AB19" s="52" t="s">
        <v>28</v>
      </c>
      <c r="AC19" s="53">
        <v>56000</v>
      </c>
      <c r="AD19" s="55">
        <f t="shared" si="2"/>
        <v>54896.799999999996</v>
      </c>
      <c r="AE19" s="56">
        <v>0.98029999999999995</v>
      </c>
      <c r="AF19" s="136" t="str">
        <f t="shared" si="3"/>
        <v>2年4ヶ月</v>
      </c>
      <c r="AG19" s="58"/>
      <c r="AH19" s="58"/>
      <c r="AI19" s="53"/>
      <c r="AJ19" s="59"/>
      <c r="AK19" s="52" t="e">
        <f t="shared" si="4"/>
        <v>#VALUE!</v>
      </c>
      <c r="AL19" s="163" t="s">
        <v>48</v>
      </c>
      <c r="AM19" s="164"/>
      <c r="AO19" s="218">
        <f t="shared" si="5"/>
        <v>16800</v>
      </c>
      <c r="AP19" s="219">
        <f t="shared" si="6"/>
        <v>16872.799999999996</v>
      </c>
      <c r="AQ19" s="227">
        <f t="shared" si="7"/>
        <v>72.799999999995634</v>
      </c>
    </row>
    <row r="20" spans="1:44" ht="24" customHeight="1">
      <c r="A20" s="34" t="s">
        <v>79</v>
      </c>
      <c r="B20" s="169">
        <v>42186</v>
      </c>
      <c r="C20" s="35">
        <v>1400</v>
      </c>
      <c r="D20" s="36" t="s">
        <v>28</v>
      </c>
      <c r="E20" s="37" t="s">
        <v>28</v>
      </c>
      <c r="F20" s="170" t="s">
        <v>28</v>
      </c>
      <c r="G20" s="39" t="s">
        <v>28</v>
      </c>
      <c r="H20" s="37" t="s">
        <v>28</v>
      </c>
      <c r="I20" s="38">
        <v>19600</v>
      </c>
      <c r="J20" s="46">
        <f t="shared" si="8"/>
        <v>18427.920000000002</v>
      </c>
      <c r="K20" s="40">
        <v>0.94020000000000004</v>
      </c>
      <c r="L20" s="173" t="str">
        <f t="shared" si="0"/>
        <v>1年8ヶ月</v>
      </c>
      <c r="M20" s="41"/>
      <c r="N20" s="41"/>
      <c r="O20" s="38"/>
      <c r="P20" s="50"/>
      <c r="Q20" s="37" t="e">
        <f t="shared" si="1"/>
        <v>#VALUE!</v>
      </c>
      <c r="R20" s="161" t="s">
        <v>605</v>
      </c>
      <c r="S20" s="162"/>
      <c r="U20" s="15"/>
      <c r="V20" s="120"/>
      <c r="W20" s="16"/>
      <c r="X20" s="51"/>
      <c r="Y20" s="52"/>
      <c r="Z20" s="64"/>
      <c r="AA20" s="54"/>
      <c r="AB20" s="52"/>
      <c r="AC20" s="64"/>
      <c r="AD20" s="55"/>
      <c r="AE20" s="56"/>
      <c r="AF20" s="136"/>
      <c r="AG20" s="58"/>
      <c r="AH20" s="58"/>
      <c r="AI20" s="64"/>
      <c r="AJ20" s="59"/>
      <c r="AK20" s="52"/>
      <c r="AL20" s="163"/>
      <c r="AM20" s="164"/>
      <c r="AO20" s="220"/>
      <c r="AP20" s="221"/>
      <c r="AQ20" s="229"/>
      <c r="AR20" s="3" t="s">
        <v>618</v>
      </c>
    </row>
    <row r="21" spans="1:44" ht="24" customHeight="1">
      <c r="A21" s="15" t="s">
        <v>568</v>
      </c>
      <c r="B21" s="120">
        <v>42278</v>
      </c>
      <c r="C21" s="16"/>
      <c r="D21" s="51" t="s">
        <v>28</v>
      </c>
      <c r="E21" s="52" t="s">
        <v>28</v>
      </c>
      <c r="F21" s="64" t="s">
        <v>28</v>
      </c>
      <c r="G21" s="54" t="s">
        <v>28</v>
      </c>
      <c r="H21" s="52" t="s">
        <v>28</v>
      </c>
      <c r="I21" s="64">
        <v>23800</v>
      </c>
      <c r="J21" s="55">
        <f t="shared" si="8"/>
        <v>22560.02</v>
      </c>
      <c r="K21" s="56">
        <v>0.94789999999999996</v>
      </c>
      <c r="L21" s="136" t="str">
        <f t="shared" si="0"/>
        <v>1年5ヶ月</v>
      </c>
      <c r="M21" s="58"/>
      <c r="N21" s="58"/>
      <c r="O21" s="64"/>
      <c r="P21" s="59"/>
      <c r="Q21" s="52" t="e">
        <f t="shared" si="1"/>
        <v>#VALUE!</v>
      </c>
      <c r="R21" s="163" t="s">
        <v>605</v>
      </c>
      <c r="S21" s="164"/>
      <c r="U21" s="15" t="s">
        <v>568</v>
      </c>
      <c r="V21" s="120">
        <v>42278</v>
      </c>
      <c r="W21" s="16"/>
      <c r="X21" s="51" t="s">
        <v>28</v>
      </c>
      <c r="Y21" s="52" t="s">
        <v>28</v>
      </c>
      <c r="Z21" s="64" t="s">
        <v>28</v>
      </c>
      <c r="AA21" s="54" t="s">
        <v>28</v>
      </c>
      <c r="AB21" s="52" t="s">
        <v>28</v>
      </c>
      <c r="AC21" s="64">
        <v>40600</v>
      </c>
      <c r="AD21" s="55">
        <f t="shared" si="2"/>
        <v>39422.6</v>
      </c>
      <c r="AE21" s="56">
        <v>0.97099999999999997</v>
      </c>
      <c r="AF21" s="136" t="str">
        <f t="shared" si="3"/>
        <v>1年5ヶ月</v>
      </c>
      <c r="AG21" s="58"/>
      <c r="AH21" s="58"/>
      <c r="AI21" s="64"/>
      <c r="AJ21" s="59"/>
      <c r="AK21" s="52" t="e">
        <f t="shared" si="4"/>
        <v>#VALUE!</v>
      </c>
      <c r="AL21" s="163" t="s">
        <v>48</v>
      </c>
      <c r="AM21" s="164"/>
      <c r="AO21" s="218">
        <f t="shared" si="5"/>
        <v>16800</v>
      </c>
      <c r="AP21" s="219">
        <f t="shared" si="6"/>
        <v>16862.579999999998</v>
      </c>
      <c r="AQ21" s="227">
        <f t="shared" si="7"/>
        <v>62.579999999998108</v>
      </c>
    </row>
    <row r="22" spans="1:44" ht="24" customHeight="1">
      <c r="A22" s="15" t="s">
        <v>584</v>
      </c>
      <c r="B22" s="120">
        <v>42491</v>
      </c>
      <c r="C22" s="16"/>
      <c r="D22" s="51" t="s">
        <v>28</v>
      </c>
      <c r="E22" s="52" t="s">
        <v>28</v>
      </c>
      <c r="F22" s="64" t="s">
        <v>28</v>
      </c>
      <c r="G22" s="54" t="s">
        <v>28</v>
      </c>
      <c r="H22" s="52" t="s">
        <v>28</v>
      </c>
      <c r="I22" s="64">
        <v>14000</v>
      </c>
      <c r="J22" s="55">
        <f t="shared" si="8"/>
        <v>10910.2</v>
      </c>
      <c r="K22" s="56">
        <v>0.77929999999999999</v>
      </c>
      <c r="L22" s="136" t="str">
        <f t="shared" si="0"/>
        <v>0年10ヶ月</v>
      </c>
      <c r="M22" s="58"/>
      <c r="N22" s="58"/>
      <c r="O22" s="64"/>
      <c r="P22" s="59"/>
      <c r="Q22" s="52"/>
      <c r="R22" s="163" t="s">
        <v>596</v>
      </c>
      <c r="S22" s="164"/>
      <c r="U22" s="15" t="s">
        <v>584</v>
      </c>
      <c r="V22" s="120">
        <v>42491</v>
      </c>
      <c r="W22" s="16"/>
      <c r="X22" s="51" t="s">
        <v>28</v>
      </c>
      <c r="Y22" s="52" t="s">
        <v>28</v>
      </c>
      <c r="Z22" s="64" t="s">
        <v>28</v>
      </c>
      <c r="AA22" s="54" t="s">
        <v>28</v>
      </c>
      <c r="AB22" s="52" t="s">
        <v>28</v>
      </c>
      <c r="AC22" s="64">
        <v>30800</v>
      </c>
      <c r="AD22" s="55">
        <f t="shared" si="2"/>
        <v>29589.56</v>
      </c>
      <c r="AE22" s="56">
        <v>0.9607</v>
      </c>
      <c r="AF22" s="136" t="str">
        <f t="shared" si="3"/>
        <v>0年10ヶ月</v>
      </c>
      <c r="AG22" s="58"/>
      <c r="AH22" s="58"/>
      <c r="AI22" s="64"/>
      <c r="AJ22" s="59"/>
      <c r="AK22" s="52"/>
      <c r="AL22" s="163" t="s">
        <v>596</v>
      </c>
      <c r="AM22" s="164"/>
      <c r="AO22" s="218">
        <f t="shared" si="5"/>
        <v>16800</v>
      </c>
      <c r="AP22" s="219">
        <f t="shared" si="6"/>
        <v>18679.36</v>
      </c>
      <c r="AQ22" s="227">
        <f t="shared" si="7"/>
        <v>1879.3600000000006</v>
      </c>
    </row>
    <row r="23" spans="1:44" ht="24" customHeight="1">
      <c r="A23" s="34" t="s">
        <v>600</v>
      </c>
      <c r="B23" s="169">
        <v>42522</v>
      </c>
      <c r="C23" s="35"/>
      <c r="D23" s="36" t="s">
        <v>28</v>
      </c>
      <c r="E23" s="37" t="s">
        <v>28</v>
      </c>
      <c r="F23" s="170" t="s">
        <v>28</v>
      </c>
      <c r="G23" s="39" t="s">
        <v>28</v>
      </c>
      <c r="H23" s="37" t="s">
        <v>28</v>
      </c>
      <c r="I23" s="170">
        <v>2800</v>
      </c>
      <c r="J23" s="46">
        <v>2800</v>
      </c>
      <c r="K23" s="172" t="s">
        <v>28</v>
      </c>
      <c r="L23" s="173" t="str">
        <f t="shared" si="0"/>
        <v>0年9ヶ月</v>
      </c>
      <c r="M23" s="41"/>
      <c r="N23" s="41"/>
      <c r="O23" s="170"/>
      <c r="P23" s="50"/>
      <c r="Q23" s="37"/>
      <c r="R23" s="161" t="s">
        <v>117</v>
      </c>
      <c r="S23" s="162"/>
      <c r="U23" s="15"/>
      <c r="V23" s="120"/>
      <c r="W23" s="16"/>
      <c r="X23" s="51"/>
      <c r="Y23" s="52"/>
      <c r="Z23" s="64"/>
      <c r="AA23" s="54"/>
      <c r="AB23" s="52"/>
      <c r="AC23" s="64"/>
      <c r="AD23" s="55"/>
      <c r="AE23" s="56"/>
      <c r="AF23" s="136"/>
      <c r="AG23" s="58"/>
      <c r="AH23" s="58"/>
      <c r="AI23" s="64"/>
      <c r="AJ23" s="59"/>
      <c r="AK23" s="52"/>
      <c r="AL23" s="163"/>
      <c r="AM23" s="164"/>
      <c r="AO23" s="220"/>
      <c r="AP23" s="221"/>
      <c r="AQ23" s="229"/>
      <c r="AR23" s="3" t="s">
        <v>619</v>
      </c>
    </row>
    <row r="24" spans="1:44" ht="24" customHeight="1">
      <c r="A24" s="15" t="s">
        <v>585</v>
      </c>
      <c r="B24" s="120">
        <v>42522</v>
      </c>
      <c r="C24" s="16"/>
      <c r="D24" s="51" t="s">
        <v>28</v>
      </c>
      <c r="E24" s="52" t="s">
        <v>28</v>
      </c>
      <c r="F24" s="64" t="s">
        <v>28</v>
      </c>
      <c r="G24" s="54" t="s">
        <v>28</v>
      </c>
      <c r="H24" s="52" t="s">
        <v>28</v>
      </c>
      <c r="I24" s="64">
        <v>12600</v>
      </c>
      <c r="J24" s="55">
        <f t="shared" ref="J24:J29" si="9">I24*K24</f>
        <v>8836.380000000001</v>
      </c>
      <c r="K24" s="56">
        <v>0.70130000000000003</v>
      </c>
      <c r="L24" s="136" t="str">
        <f t="shared" si="0"/>
        <v>0年9ヶ月</v>
      </c>
      <c r="M24" s="58"/>
      <c r="N24" s="58"/>
      <c r="O24" s="64"/>
      <c r="P24" s="59"/>
      <c r="Q24" s="52"/>
      <c r="R24" s="163" t="s">
        <v>593</v>
      </c>
      <c r="S24" s="164"/>
      <c r="U24" s="15" t="s">
        <v>585</v>
      </c>
      <c r="V24" s="120">
        <v>42522</v>
      </c>
      <c r="W24" s="16"/>
      <c r="X24" s="51" t="s">
        <v>28</v>
      </c>
      <c r="Y24" s="52" t="s">
        <v>28</v>
      </c>
      <c r="Z24" s="64" t="s">
        <v>28</v>
      </c>
      <c r="AA24" s="54" t="s">
        <v>28</v>
      </c>
      <c r="AB24" s="52" t="s">
        <v>28</v>
      </c>
      <c r="AC24" s="64">
        <v>29400</v>
      </c>
      <c r="AD24" s="55">
        <f t="shared" si="2"/>
        <v>28168.14</v>
      </c>
      <c r="AE24" s="56">
        <v>0.95809999999999995</v>
      </c>
      <c r="AF24" s="136" t="str">
        <f t="shared" si="3"/>
        <v>0年9ヶ月</v>
      </c>
      <c r="AG24" s="58"/>
      <c r="AH24" s="58"/>
      <c r="AI24" s="64"/>
      <c r="AJ24" s="59"/>
      <c r="AK24" s="52"/>
      <c r="AL24" s="163" t="s">
        <v>593</v>
      </c>
      <c r="AM24" s="164"/>
      <c r="AO24" s="218">
        <f t="shared" si="5"/>
        <v>16800</v>
      </c>
      <c r="AP24" s="219">
        <f t="shared" si="6"/>
        <v>19331.759999999998</v>
      </c>
      <c r="AQ24" s="227">
        <f t="shared" si="7"/>
        <v>2531.7599999999984</v>
      </c>
    </row>
    <row r="25" spans="1:44" ht="24" customHeight="1">
      <c r="A25" s="15" t="s">
        <v>586</v>
      </c>
      <c r="B25" s="120">
        <v>42552</v>
      </c>
      <c r="C25" s="16"/>
      <c r="D25" s="51" t="s">
        <v>28</v>
      </c>
      <c r="E25" s="52" t="s">
        <v>28</v>
      </c>
      <c r="F25" s="64" t="s">
        <v>28</v>
      </c>
      <c r="G25" s="54" t="s">
        <v>28</v>
      </c>
      <c r="H25" s="52" t="s">
        <v>28</v>
      </c>
      <c r="I25" s="64">
        <v>11200</v>
      </c>
      <c r="J25" s="55">
        <f t="shared" si="9"/>
        <v>6982.08</v>
      </c>
      <c r="K25" s="56">
        <v>0.62339999999999995</v>
      </c>
      <c r="L25" s="136" t="str">
        <f t="shared" si="0"/>
        <v>0年8ヶ月</v>
      </c>
      <c r="M25" s="58"/>
      <c r="N25" s="58"/>
      <c r="O25" s="64"/>
      <c r="P25" s="59"/>
      <c r="Q25" s="52"/>
      <c r="R25" s="163" t="s">
        <v>25</v>
      </c>
      <c r="S25" s="164"/>
      <c r="U25" s="15" t="s">
        <v>586</v>
      </c>
      <c r="V25" s="120">
        <v>42552</v>
      </c>
      <c r="W25" s="16"/>
      <c r="X25" s="51" t="s">
        <v>28</v>
      </c>
      <c r="Y25" s="52" t="s">
        <v>28</v>
      </c>
      <c r="Z25" s="64" t="s">
        <v>28</v>
      </c>
      <c r="AA25" s="54" t="s">
        <v>28</v>
      </c>
      <c r="AB25" s="52" t="s">
        <v>28</v>
      </c>
      <c r="AC25" s="64">
        <v>28000</v>
      </c>
      <c r="AD25" s="55">
        <f t="shared" si="2"/>
        <v>26756.799999999999</v>
      </c>
      <c r="AE25" s="56">
        <v>0.9556</v>
      </c>
      <c r="AF25" s="136" t="str">
        <f t="shared" si="3"/>
        <v>0年8ヶ月</v>
      </c>
      <c r="AG25" s="58"/>
      <c r="AH25" s="58"/>
      <c r="AI25" s="64"/>
      <c r="AJ25" s="59"/>
      <c r="AK25" s="52"/>
      <c r="AL25" s="163" t="s">
        <v>25</v>
      </c>
      <c r="AM25" s="164"/>
      <c r="AO25" s="218">
        <f t="shared" si="5"/>
        <v>16800</v>
      </c>
      <c r="AP25" s="219">
        <f t="shared" si="6"/>
        <v>19774.72</v>
      </c>
      <c r="AQ25" s="227">
        <f t="shared" si="7"/>
        <v>2974.7200000000012</v>
      </c>
    </row>
    <row r="26" spans="1:44" ht="24" customHeight="1">
      <c r="A26" s="15" t="s">
        <v>587</v>
      </c>
      <c r="B26" s="120">
        <v>42552</v>
      </c>
      <c r="C26" s="16"/>
      <c r="D26" s="51" t="s">
        <v>28</v>
      </c>
      <c r="E26" s="52" t="s">
        <v>28</v>
      </c>
      <c r="F26" s="64" t="s">
        <v>28</v>
      </c>
      <c r="G26" s="54" t="s">
        <v>28</v>
      </c>
      <c r="H26" s="52" t="s">
        <v>28</v>
      </c>
      <c r="I26" s="64">
        <v>11200</v>
      </c>
      <c r="J26" s="55">
        <f t="shared" si="9"/>
        <v>6982.08</v>
      </c>
      <c r="K26" s="56">
        <v>0.62339999999999995</v>
      </c>
      <c r="L26" s="136" t="str">
        <f t="shared" si="0"/>
        <v>0年8ヶ月</v>
      </c>
      <c r="M26" s="58"/>
      <c r="N26" s="58"/>
      <c r="O26" s="64"/>
      <c r="P26" s="59"/>
      <c r="Q26" s="52"/>
      <c r="R26" s="163" t="s">
        <v>593</v>
      </c>
      <c r="S26" s="164"/>
      <c r="U26" s="15" t="s">
        <v>587</v>
      </c>
      <c r="V26" s="120">
        <v>42552</v>
      </c>
      <c r="W26" s="16"/>
      <c r="X26" s="51" t="s">
        <v>28</v>
      </c>
      <c r="Y26" s="52" t="s">
        <v>28</v>
      </c>
      <c r="Z26" s="64" t="s">
        <v>28</v>
      </c>
      <c r="AA26" s="54" t="s">
        <v>28</v>
      </c>
      <c r="AB26" s="52" t="s">
        <v>28</v>
      </c>
      <c r="AC26" s="64">
        <v>28000</v>
      </c>
      <c r="AD26" s="55">
        <f t="shared" si="2"/>
        <v>26756.799999999999</v>
      </c>
      <c r="AE26" s="56">
        <v>0.9556</v>
      </c>
      <c r="AF26" s="136" t="str">
        <f t="shared" si="3"/>
        <v>0年8ヶ月</v>
      </c>
      <c r="AG26" s="58"/>
      <c r="AH26" s="58"/>
      <c r="AI26" s="64"/>
      <c r="AJ26" s="59"/>
      <c r="AK26" s="52"/>
      <c r="AL26" s="163" t="s">
        <v>593</v>
      </c>
      <c r="AM26" s="164"/>
      <c r="AO26" s="218">
        <f t="shared" si="5"/>
        <v>16800</v>
      </c>
      <c r="AP26" s="219">
        <f t="shared" si="6"/>
        <v>19774.72</v>
      </c>
      <c r="AQ26" s="227">
        <f t="shared" si="7"/>
        <v>2974.7200000000012</v>
      </c>
    </row>
    <row r="27" spans="1:44" ht="24" customHeight="1">
      <c r="A27" s="15" t="s">
        <v>591</v>
      </c>
      <c r="B27" s="120">
        <v>42675</v>
      </c>
      <c r="C27" s="16"/>
      <c r="D27" s="51" t="s">
        <v>28</v>
      </c>
      <c r="E27" s="52" t="s">
        <v>28</v>
      </c>
      <c r="F27" s="64" t="s">
        <v>28</v>
      </c>
      <c r="G27" s="54" t="s">
        <v>28</v>
      </c>
      <c r="H27" s="52" t="s">
        <v>28</v>
      </c>
      <c r="I27" s="64">
        <v>5600</v>
      </c>
      <c r="J27" s="55">
        <f t="shared" si="9"/>
        <v>1745.52</v>
      </c>
      <c r="K27" s="56">
        <v>0.31169999999999998</v>
      </c>
      <c r="L27" s="136" t="str">
        <f t="shared" si="0"/>
        <v>0年4ヶ月</v>
      </c>
      <c r="M27" s="58"/>
      <c r="N27" s="58"/>
      <c r="O27" s="64"/>
      <c r="P27" s="59"/>
      <c r="Q27" s="52"/>
      <c r="R27" s="163" t="s">
        <v>595</v>
      </c>
      <c r="S27" s="164"/>
      <c r="U27" s="15" t="s">
        <v>591</v>
      </c>
      <c r="V27" s="120">
        <v>42675</v>
      </c>
      <c r="W27" s="16"/>
      <c r="X27" s="51" t="s">
        <v>28</v>
      </c>
      <c r="Y27" s="52" t="s">
        <v>28</v>
      </c>
      <c r="Z27" s="64" t="s">
        <v>28</v>
      </c>
      <c r="AA27" s="54" t="s">
        <v>28</v>
      </c>
      <c r="AB27" s="52" t="s">
        <v>28</v>
      </c>
      <c r="AC27" s="64">
        <v>22400</v>
      </c>
      <c r="AD27" s="55">
        <f t="shared" si="2"/>
        <v>21174.720000000001</v>
      </c>
      <c r="AE27" s="56">
        <v>0.94530000000000003</v>
      </c>
      <c r="AF27" s="136" t="str">
        <f t="shared" si="3"/>
        <v>0年4ヶ月</v>
      </c>
      <c r="AG27" s="58"/>
      <c r="AH27" s="58"/>
      <c r="AI27" s="64"/>
      <c r="AJ27" s="59"/>
      <c r="AK27" s="52"/>
      <c r="AL27" s="163" t="s">
        <v>595</v>
      </c>
      <c r="AM27" s="164"/>
      <c r="AO27" s="218">
        <f t="shared" si="5"/>
        <v>16800</v>
      </c>
      <c r="AP27" s="219">
        <f t="shared" si="6"/>
        <v>19429.2</v>
      </c>
      <c r="AQ27" s="227">
        <f t="shared" si="7"/>
        <v>2629.2000000000007</v>
      </c>
    </row>
    <row r="28" spans="1:44" ht="24" customHeight="1">
      <c r="A28" s="15" t="s">
        <v>589</v>
      </c>
      <c r="B28" s="120">
        <v>42675</v>
      </c>
      <c r="C28" s="16"/>
      <c r="D28" s="51" t="s">
        <v>28</v>
      </c>
      <c r="E28" s="52" t="s">
        <v>28</v>
      </c>
      <c r="F28" s="64" t="s">
        <v>28</v>
      </c>
      <c r="G28" s="54" t="s">
        <v>28</v>
      </c>
      <c r="H28" s="52" t="s">
        <v>28</v>
      </c>
      <c r="I28" s="64">
        <v>5600</v>
      </c>
      <c r="J28" s="55">
        <f t="shared" si="9"/>
        <v>1745.52</v>
      </c>
      <c r="K28" s="56">
        <v>0.31169999999999998</v>
      </c>
      <c r="L28" s="136" t="str">
        <f t="shared" si="0"/>
        <v>0年4ヶ月</v>
      </c>
      <c r="M28" s="58"/>
      <c r="N28" s="58"/>
      <c r="O28" s="64"/>
      <c r="P28" s="59"/>
      <c r="Q28" s="52"/>
      <c r="R28" s="163" t="s">
        <v>596</v>
      </c>
      <c r="S28" s="164"/>
      <c r="U28" s="15" t="s">
        <v>589</v>
      </c>
      <c r="V28" s="120">
        <v>42675</v>
      </c>
      <c r="W28" s="16"/>
      <c r="X28" s="51" t="s">
        <v>28</v>
      </c>
      <c r="Y28" s="52" t="s">
        <v>28</v>
      </c>
      <c r="Z28" s="64" t="s">
        <v>28</v>
      </c>
      <c r="AA28" s="54" t="s">
        <v>28</v>
      </c>
      <c r="AB28" s="52" t="s">
        <v>28</v>
      </c>
      <c r="AC28" s="64">
        <v>22400</v>
      </c>
      <c r="AD28" s="55">
        <f t="shared" si="2"/>
        <v>21174.720000000001</v>
      </c>
      <c r="AE28" s="56">
        <v>0.94530000000000003</v>
      </c>
      <c r="AF28" s="136" t="str">
        <f t="shared" si="3"/>
        <v>0年4ヶ月</v>
      </c>
      <c r="AG28" s="58"/>
      <c r="AH28" s="58"/>
      <c r="AI28" s="64"/>
      <c r="AJ28" s="59"/>
      <c r="AK28" s="52"/>
      <c r="AL28" s="163" t="s">
        <v>596</v>
      </c>
      <c r="AM28" s="164"/>
      <c r="AO28" s="218">
        <f t="shared" si="5"/>
        <v>16800</v>
      </c>
      <c r="AP28" s="219">
        <f t="shared" si="6"/>
        <v>19429.2</v>
      </c>
      <c r="AQ28" s="227">
        <f t="shared" si="7"/>
        <v>2629.2000000000007</v>
      </c>
    </row>
    <row r="29" spans="1:44" ht="24" customHeight="1" thickBot="1">
      <c r="A29" s="189" t="s">
        <v>590</v>
      </c>
      <c r="B29" s="190">
        <v>42705</v>
      </c>
      <c r="C29" s="191"/>
      <c r="D29" s="192" t="s">
        <v>28</v>
      </c>
      <c r="E29" s="185" t="s">
        <v>28</v>
      </c>
      <c r="F29" s="64" t="s">
        <v>28</v>
      </c>
      <c r="G29" s="193" t="s">
        <v>28</v>
      </c>
      <c r="H29" s="185" t="s">
        <v>28</v>
      </c>
      <c r="I29" s="64">
        <v>4200</v>
      </c>
      <c r="J29" s="186">
        <f t="shared" si="9"/>
        <v>981.96</v>
      </c>
      <c r="K29" s="194">
        <v>0.23380000000000001</v>
      </c>
      <c r="L29" s="195" t="str">
        <f t="shared" si="0"/>
        <v>0年3ヶ月</v>
      </c>
      <c r="M29" s="196"/>
      <c r="N29" s="196"/>
      <c r="O29" s="64"/>
      <c r="P29" s="197"/>
      <c r="Q29" s="185"/>
      <c r="R29" s="198" t="s">
        <v>596</v>
      </c>
      <c r="S29" s="199"/>
      <c r="U29" s="189" t="s">
        <v>590</v>
      </c>
      <c r="V29" s="190">
        <v>42705</v>
      </c>
      <c r="W29" s="191"/>
      <c r="X29" s="192" t="s">
        <v>28</v>
      </c>
      <c r="Y29" s="185" t="s">
        <v>28</v>
      </c>
      <c r="Z29" s="64" t="s">
        <v>28</v>
      </c>
      <c r="AA29" s="193" t="s">
        <v>28</v>
      </c>
      <c r="AB29" s="185" t="s">
        <v>28</v>
      </c>
      <c r="AC29" s="64">
        <v>21000</v>
      </c>
      <c r="AD29" s="186">
        <f t="shared" si="2"/>
        <v>19798.8</v>
      </c>
      <c r="AE29" s="194">
        <v>0.94279999999999997</v>
      </c>
      <c r="AF29" s="195" t="str">
        <f t="shared" si="3"/>
        <v>0年3ヶ月</v>
      </c>
      <c r="AG29" s="196"/>
      <c r="AH29" s="196"/>
      <c r="AI29" s="64"/>
      <c r="AJ29" s="197"/>
      <c r="AK29" s="185"/>
      <c r="AL29" s="198" t="s">
        <v>596</v>
      </c>
      <c r="AM29" s="199"/>
      <c r="AO29" s="222">
        <f t="shared" si="5"/>
        <v>16800</v>
      </c>
      <c r="AP29" s="223">
        <f t="shared" si="6"/>
        <v>18816.84</v>
      </c>
      <c r="AQ29" s="230">
        <f t="shared" si="7"/>
        <v>2016.8400000000001</v>
      </c>
    </row>
    <row r="30" spans="1:44" ht="24" customHeight="1" thickBot="1">
      <c r="A30" s="205" t="s">
        <v>597</v>
      </c>
      <c r="B30" s="206"/>
      <c r="C30" s="207"/>
      <c r="D30" s="208"/>
      <c r="E30" s="209"/>
      <c r="F30" s="210">
        <f>SUM(F5:F29)</f>
        <v>912560</v>
      </c>
      <c r="G30" s="211"/>
      <c r="H30" s="209"/>
      <c r="I30" s="210">
        <f>SUM(I5:I29)</f>
        <v>1965400</v>
      </c>
      <c r="J30" s="212">
        <f>SUM(J5:J29)</f>
        <v>2119077.48</v>
      </c>
      <c r="K30" s="213"/>
      <c r="L30" s="214"/>
      <c r="M30" s="209"/>
      <c r="N30" s="209"/>
      <c r="O30" s="210"/>
      <c r="P30" s="215"/>
      <c r="Q30" s="209"/>
      <c r="R30" s="274"/>
      <c r="S30" s="277"/>
      <c r="T30" s="216"/>
      <c r="U30" s="217" t="s">
        <v>581</v>
      </c>
      <c r="V30" s="206"/>
      <c r="W30" s="207"/>
      <c r="X30" s="208"/>
      <c r="Y30" s="209"/>
      <c r="Z30" s="210">
        <f>SUM(Z5:Z29)</f>
        <v>621020</v>
      </c>
      <c r="AA30" s="211"/>
      <c r="AB30" s="209"/>
      <c r="AC30" s="210">
        <f>SUM(AC5:AC29)</f>
        <v>1862200</v>
      </c>
      <c r="AD30" s="212">
        <f>SUM(AD5:AD29)</f>
        <v>1859036.9200000002</v>
      </c>
      <c r="AE30" s="213"/>
      <c r="AF30" s="214"/>
      <c r="AG30" s="209"/>
      <c r="AH30" s="209"/>
      <c r="AI30" s="210"/>
      <c r="AJ30" s="215"/>
      <c r="AK30" s="209"/>
      <c r="AL30" s="274"/>
      <c r="AM30" s="275"/>
      <c r="AO30" s="187">
        <f>SUM(AO5:AO29)</f>
        <v>429200</v>
      </c>
      <c r="AP30" s="188">
        <f>SUM(AP5:AP29)</f>
        <v>453979.6999999999</v>
      </c>
      <c r="AQ30" s="231">
        <f>SUM(AQ5:AQ29)</f>
        <v>24779.699999999848</v>
      </c>
    </row>
    <row r="31" spans="1:44">
      <c r="B31" s="18"/>
      <c r="C31" s="18"/>
      <c r="H31" s="200" t="s">
        <v>582</v>
      </c>
      <c r="I31" s="201">
        <f>I30-Ｈ27年度末退職金!I25</f>
        <v>395600</v>
      </c>
      <c r="J31" s="201">
        <f>J30-Ｈ27年度末退職金!J25</f>
        <v>573746.1399999999</v>
      </c>
      <c r="V31" s="18"/>
      <c r="W31" s="18"/>
      <c r="AA31" s="202"/>
      <c r="AB31" s="203" t="s">
        <v>598</v>
      </c>
      <c r="AC31" s="204">
        <f>AC30-Ｈ28年度末退職金!AC34</f>
        <v>1862200</v>
      </c>
      <c r="AD31" s="204">
        <f>AD30-Ｈ28年度末退職金!AD34</f>
        <v>1859036.9200000002</v>
      </c>
    </row>
    <row r="32" spans="1:44">
      <c r="B32" s="1"/>
      <c r="C32" s="32">
        <f>1400*12</f>
        <v>16800</v>
      </c>
      <c r="V32" s="1"/>
      <c r="W32" s="88"/>
      <c r="X32" s="1"/>
      <c r="Y32" s="1"/>
      <c r="Z32" s="1"/>
      <c r="AA32" s="1"/>
      <c r="AB32" s="1"/>
      <c r="AC32" s="1"/>
      <c r="AD32" s="1"/>
      <c r="AE32" s="1"/>
      <c r="AF32" s="1"/>
      <c r="AG32" s="1"/>
      <c r="AH32" s="1"/>
      <c r="AI32" s="1"/>
      <c r="AJ32" s="1"/>
      <c r="AK32" s="1"/>
      <c r="AL32" s="1"/>
      <c r="AM32" s="1"/>
      <c r="AP32" s="232"/>
    </row>
    <row r="33" spans="2:41">
      <c r="B33" s="1"/>
      <c r="C33" s="32">
        <f>1400*24</f>
        <v>33600</v>
      </c>
      <c r="D33" s="168"/>
      <c r="E33" s="264"/>
      <c r="F33" s="264"/>
      <c r="G33" s="1"/>
      <c r="H33" s="276"/>
      <c r="I33" s="226"/>
      <c r="J33" s="118" t="s">
        <v>608</v>
      </c>
      <c r="K33" s="1"/>
      <c r="L33" s="117"/>
      <c r="M33" s="117"/>
      <c r="N33" s="117"/>
      <c r="O33" s="1"/>
      <c r="P33" s="117"/>
      <c r="Q33" s="83"/>
      <c r="R33" s="117"/>
      <c r="S33" s="1"/>
      <c r="T33" s="1"/>
      <c r="V33" s="1"/>
      <c r="W33" s="88"/>
      <c r="X33" s="168"/>
      <c r="Y33" s="264"/>
      <c r="Z33" s="264"/>
      <c r="AA33" s="1"/>
      <c r="AB33" s="276"/>
      <c r="AC33" s="118"/>
      <c r="AD33" s="118"/>
      <c r="AE33" s="1"/>
      <c r="AF33" s="117"/>
      <c r="AG33" s="117"/>
      <c r="AH33" s="117"/>
      <c r="AI33" s="1"/>
      <c r="AJ33" s="117"/>
      <c r="AK33" s="83"/>
      <c r="AL33" s="117"/>
      <c r="AM33" s="1"/>
      <c r="AO33" s="3" t="s">
        <v>622</v>
      </c>
    </row>
    <row r="34" spans="2:41">
      <c r="B34" s="1"/>
      <c r="C34" s="32">
        <f>1400*36</f>
        <v>50400</v>
      </c>
      <c r="D34" s="167"/>
      <c r="E34" s="261"/>
      <c r="F34" s="261"/>
      <c r="G34" s="83"/>
      <c r="H34" s="276"/>
      <c r="I34" s="182"/>
      <c r="J34" s="78" t="s">
        <v>603</v>
      </c>
      <c r="K34" s="84"/>
      <c r="L34" s="84"/>
      <c r="M34" s="84"/>
      <c r="N34" s="84"/>
      <c r="O34" s="84"/>
      <c r="P34" s="84"/>
      <c r="Q34" s="84"/>
      <c r="R34" s="84"/>
      <c r="S34" s="1"/>
      <c r="T34" s="1"/>
      <c r="V34" s="1"/>
      <c r="W34" s="88"/>
      <c r="X34" s="167"/>
      <c r="Y34" s="261"/>
      <c r="Z34" s="261"/>
      <c r="AA34" s="83"/>
      <c r="AB34" s="276"/>
      <c r="AC34" s="84"/>
      <c r="AD34" s="84"/>
      <c r="AE34" s="84"/>
      <c r="AF34" s="84"/>
      <c r="AG34" s="84"/>
      <c r="AH34" s="84"/>
      <c r="AI34" s="84"/>
      <c r="AJ34" s="84"/>
      <c r="AK34" s="84"/>
      <c r="AL34" s="84"/>
      <c r="AM34" s="1"/>
      <c r="AO34" s="3" t="s">
        <v>620</v>
      </c>
    </row>
    <row r="35" spans="2:41">
      <c r="B35" s="1"/>
      <c r="C35" s="32">
        <f>1400*48</f>
        <v>67200</v>
      </c>
      <c r="D35" s="167"/>
      <c r="E35" s="261"/>
      <c r="F35" s="261"/>
      <c r="G35" s="83"/>
      <c r="H35" s="21"/>
      <c r="I35" s="117"/>
      <c r="J35" s="117"/>
      <c r="K35" s="85"/>
      <c r="L35" s="85"/>
      <c r="M35" s="85"/>
      <c r="N35" s="85"/>
      <c r="O35" s="86"/>
      <c r="P35" s="183"/>
      <c r="Q35" s="85"/>
      <c r="R35" s="88"/>
      <c r="S35" s="1"/>
      <c r="T35" s="1"/>
      <c r="V35" s="1"/>
      <c r="W35" s="88"/>
      <c r="X35" s="167"/>
      <c r="Y35" s="261"/>
      <c r="Z35" s="261"/>
      <c r="AA35" s="83"/>
      <c r="AB35" s="21"/>
      <c r="AC35" s="117"/>
      <c r="AD35" s="117"/>
      <c r="AE35" s="85"/>
      <c r="AF35" s="85"/>
      <c r="AG35" s="85"/>
      <c r="AH35" s="85"/>
      <c r="AI35" s="90"/>
      <c r="AJ35" s="87"/>
      <c r="AK35" s="88"/>
      <c r="AL35" s="88"/>
      <c r="AM35" s="1"/>
      <c r="AO35" s="1"/>
    </row>
    <row r="36" spans="2:41">
      <c r="B36" s="1"/>
      <c r="C36" s="32">
        <f>C35+(1400*11)</f>
        <v>82600</v>
      </c>
      <c r="D36" s="167"/>
      <c r="E36" s="261"/>
      <c r="F36" s="261"/>
      <c r="G36" s="83"/>
      <c r="H36" s="21"/>
      <c r="I36" s="117"/>
      <c r="J36" s="117"/>
      <c r="K36" s="85"/>
      <c r="L36" s="85"/>
      <c r="M36" s="85"/>
      <c r="N36" s="85"/>
      <c r="O36" s="86"/>
      <c r="P36" s="87"/>
      <c r="Q36" s="85"/>
      <c r="R36" s="88"/>
      <c r="S36" s="1"/>
      <c r="T36" s="1"/>
      <c r="V36" s="1"/>
      <c r="W36" s="88"/>
      <c r="X36" s="167"/>
      <c r="Y36" s="261"/>
      <c r="Z36" s="261"/>
      <c r="AA36" s="83"/>
      <c r="AB36" s="21"/>
      <c r="AC36" s="118"/>
      <c r="AD36" s="1"/>
      <c r="AE36" s="85"/>
      <c r="AF36" s="85"/>
      <c r="AG36" s="85"/>
      <c r="AH36" s="85"/>
      <c r="AI36" s="1"/>
      <c r="AJ36" s="1"/>
      <c r="AK36" s="87"/>
      <c r="AL36" s="1"/>
      <c r="AM36" s="1"/>
    </row>
    <row r="37" spans="2:41">
      <c r="B37" s="1"/>
      <c r="C37" s="32">
        <f>C36+2400</f>
        <v>85000</v>
      </c>
      <c r="D37" s="167"/>
      <c r="E37" s="261"/>
      <c r="F37" s="261"/>
      <c r="G37" s="31"/>
      <c r="H37" s="89"/>
      <c r="I37" s="117"/>
      <c r="J37" s="117"/>
      <c r="K37" s="85"/>
      <c r="L37" s="85"/>
      <c r="M37" s="85"/>
      <c r="N37" s="85"/>
      <c r="O37" s="86"/>
      <c r="P37" s="87"/>
      <c r="Q37" s="88"/>
      <c r="R37" s="88"/>
      <c r="S37" s="1"/>
      <c r="T37" s="1"/>
      <c r="V37" s="1"/>
      <c r="W37" s="88"/>
      <c r="X37" s="167"/>
      <c r="Y37" s="261"/>
      <c r="Z37" s="261"/>
      <c r="AA37" s="31"/>
      <c r="AB37" s="21"/>
      <c r="AC37" s="118"/>
      <c r="AD37" s="1"/>
      <c r="AE37" s="85"/>
      <c r="AF37" s="85"/>
      <c r="AG37" s="85"/>
      <c r="AH37" s="85"/>
      <c r="AI37" s="1"/>
      <c r="AJ37" s="1"/>
      <c r="AK37" s="87"/>
      <c r="AL37" s="1"/>
      <c r="AM37" s="1"/>
    </row>
    <row r="38" spans="2:41">
      <c r="B38" s="1"/>
      <c r="C38" s="32">
        <f>C37+2400*12</f>
        <v>113800</v>
      </c>
      <c r="D38" s="1"/>
      <c r="E38" s="1"/>
      <c r="F38" s="1"/>
      <c r="G38" s="1"/>
      <c r="H38" s="21"/>
      <c r="I38" s="117"/>
      <c r="J38" s="117"/>
      <c r="K38" s="85"/>
      <c r="L38" s="85"/>
      <c r="M38" s="85"/>
      <c r="N38" s="85"/>
      <c r="O38" s="90"/>
      <c r="P38" s="87"/>
      <c r="Q38" s="88"/>
      <c r="R38" s="88"/>
      <c r="S38" s="1"/>
      <c r="T38" s="1"/>
      <c r="U38" s="1"/>
      <c r="V38" s="1"/>
      <c r="W38" s="88"/>
      <c r="X38" s="1"/>
      <c r="Y38" s="1"/>
      <c r="Z38" s="1"/>
      <c r="AA38" s="1"/>
      <c r="AB38" s="1"/>
      <c r="AC38" s="118"/>
      <c r="AD38" s="1"/>
      <c r="AE38" s="85"/>
      <c r="AF38" s="85"/>
      <c r="AG38" s="85"/>
      <c r="AH38" s="85"/>
      <c r="AI38" s="1"/>
      <c r="AJ38" s="1"/>
      <c r="AK38" s="87"/>
      <c r="AL38" s="1"/>
      <c r="AM38" s="1"/>
    </row>
    <row r="39" spans="2:41">
      <c r="B39" s="1"/>
      <c r="C39" s="32">
        <f>C38+2400*12</f>
        <v>142600</v>
      </c>
      <c r="D39" s="178"/>
      <c r="E39" s="179"/>
      <c r="F39" s="179"/>
      <c r="G39" s="1"/>
      <c r="H39" s="21"/>
      <c r="I39" s="117"/>
      <c r="J39" s="117"/>
      <c r="K39" s="85"/>
      <c r="L39" s="85"/>
      <c r="M39" s="85"/>
      <c r="N39" s="85"/>
      <c r="O39" s="1"/>
      <c r="P39" s="87"/>
      <c r="Q39" s="88"/>
      <c r="R39" s="88"/>
      <c r="S39" s="1"/>
      <c r="T39" s="1"/>
      <c r="U39" s="1"/>
      <c r="V39" s="1"/>
      <c r="W39" s="88"/>
      <c r="X39" s="178"/>
      <c r="Y39" s="179"/>
      <c r="Z39" s="179"/>
      <c r="AA39" s="1"/>
      <c r="AB39" s="1"/>
      <c r="AC39" s="118"/>
      <c r="AD39" s="1"/>
      <c r="AE39" s="85"/>
      <c r="AF39" s="85"/>
      <c r="AG39" s="85"/>
      <c r="AH39" s="85"/>
      <c r="AI39" s="1"/>
      <c r="AJ39" s="1"/>
      <c r="AK39" s="87"/>
      <c r="AL39" s="1"/>
      <c r="AM39" s="1"/>
    </row>
    <row r="40" spans="2:41">
      <c r="B40" s="1"/>
      <c r="C40" s="32">
        <f>C39+2400*11</f>
        <v>169000</v>
      </c>
      <c r="D40" s="180"/>
      <c r="E40" s="88"/>
      <c r="F40" s="1"/>
      <c r="G40" s="1"/>
      <c r="H40" s="21"/>
      <c r="I40" s="117"/>
      <c r="J40" s="117"/>
      <c r="K40" s="85"/>
      <c r="L40" s="85"/>
      <c r="M40" s="85"/>
      <c r="N40" s="85"/>
      <c r="O40" s="1"/>
      <c r="P40" s="87"/>
      <c r="Q40" s="88"/>
      <c r="R40" s="88"/>
      <c r="S40" s="1"/>
      <c r="T40" s="1"/>
      <c r="U40" s="1"/>
      <c r="V40" s="1"/>
      <c r="W40" s="88"/>
      <c r="X40" s="180"/>
      <c r="Y40" s="88"/>
      <c r="Z40" s="1"/>
      <c r="AA40" s="1"/>
      <c r="AB40" s="1"/>
      <c r="AC40" s="118"/>
      <c r="AD40" s="1"/>
      <c r="AE40" s="85"/>
      <c r="AF40" s="1"/>
      <c r="AG40" s="1"/>
      <c r="AH40" s="1"/>
      <c r="AI40" s="1"/>
      <c r="AJ40" s="1"/>
      <c r="AK40" s="87"/>
      <c r="AL40" s="1"/>
      <c r="AM40" s="1"/>
    </row>
    <row r="41" spans="2:41">
      <c r="B41" s="1"/>
      <c r="C41" s="32">
        <f>C40+3400</f>
        <v>172400</v>
      </c>
      <c r="D41" s="180"/>
      <c r="E41" s="88"/>
      <c r="F41" s="1"/>
      <c r="G41" s="1"/>
      <c r="H41" s="21"/>
      <c r="I41" s="117"/>
      <c r="J41" s="117"/>
      <c r="K41" s="85"/>
      <c r="L41" s="85"/>
      <c r="M41" s="85"/>
      <c r="N41" s="85"/>
      <c r="O41" s="184"/>
      <c r="P41" s="87"/>
      <c r="Q41" s="88"/>
      <c r="R41" s="88"/>
      <c r="S41" s="1"/>
      <c r="T41" s="1"/>
      <c r="U41" s="1"/>
      <c r="V41" s="1"/>
      <c r="W41" s="88"/>
      <c r="X41" s="180"/>
      <c r="Y41" s="88"/>
      <c r="Z41" s="1"/>
      <c r="AA41" s="1"/>
      <c r="AB41" s="78"/>
      <c r="AC41" s="123"/>
      <c r="AD41" s="78"/>
      <c r="AE41" s="85"/>
      <c r="AF41" s="1"/>
      <c r="AG41" s="1"/>
      <c r="AH41" s="1"/>
      <c r="AI41" s="1"/>
      <c r="AJ41" s="1"/>
      <c r="AK41" s="87"/>
      <c r="AL41" s="1"/>
      <c r="AM41" s="1"/>
    </row>
    <row r="42" spans="2:41">
      <c r="B42" s="1"/>
      <c r="C42" s="32">
        <f>C41+3400*12</f>
        <v>213200</v>
      </c>
      <c r="D42" s="180"/>
      <c r="E42" s="88"/>
      <c r="F42" s="88"/>
      <c r="G42" s="1"/>
      <c r="H42" s="21"/>
      <c r="I42" s="118"/>
      <c r="J42" s="1"/>
      <c r="K42" s="85"/>
      <c r="L42" s="85"/>
      <c r="M42" s="85"/>
      <c r="N42" s="85"/>
      <c r="O42" s="1"/>
      <c r="P42" s="1"/>
      <c r="Q42" s="87"/>
      <c r="R42" s="1"/>
      <c r="S42" s="1"/>
      <c r="T42" s="1"/>
      <c r="U42" s="1"/>
      <c r="V42" s="1"/>
      <c r="W42" s="88"/>
      <c r="X42" s="180"/>
      <c r="Y42" s="88"/>
      <c r="Z42" s="88"/>
      <c r="AA42" s="1"/>
      <c r="AB42" s="118"/>
      <c r="AC42" s="118"/>
      <c r="AD42" s="118"/>
      <c r="AE42" s="1"/>
      <c r="AF42" s="117"/>
      <c r="AG42" s="117"/>
      <c r="AH42" s="117"/>
      <c r="AI42" s="1"/>
      <c r="AJ42" s="117"/>
      <c r="AK42" s="83"/>
      <c r="AL42" s="117"/>
      <c r="AM42" s="1"/>
    </row>
    <row r="43" spans="2:41">
      <c r="B43" s="1"/>
      <c r="C43" s="32">
        <f>C42+3400*11</f>
        <v>250600</v>
      </c>
      <c r="D43" s="181"/>
      <c r="E43" s="88"/>
      <c r="F43" s="1"/>
      <c r="G43" s="1"/>
      <c r="H43" s="21"/>
      <c r="I43" s="118"/>
      <c r="J43" s="1"/>
      <c r="K43" s="85"/>
      <c r="L43" s="85"/>
      <c r="M43" s="85"/>
      <c r="N43" s="85"/>
      <c r="O43" s="1"/>
      <c r="P43" s="1"/>
      <c r="Q43" s="87"/>
      <c r="R43" s="1"/>
      <c r="S43" s="1"/>
      <c r="T43" s="1"/>
      <c r="U43" s="1"/>
      <c r="V43" s="1"/>
      <c r="W43" s="88"/>
      <c r="X43" s="181"/>
      <c r="Y43" s="88"/>
      <c r="Z43" s="1"/>
      <c r="AA43" s="1"/>
      <c r="AB43" s="118"/>
      <c r="AC43" s="78"/>
      <c r="AD43" s="119"/>
      <c r="AE43" s="84"/>
      <c r="AF43" s="84"/>
      <c r="AG43" s="84"/>
      <c r="AH43" s="84"/>
      <c r="AI43" s="84"/>
      <c r="AJ43" s="84"/>
      <c r="AK43" s="84"/>
      <c r="AL43" s="84"/>
      <c r="AM43" s="1"/>
    </row>
    <row r="44" spans="2:41">
      <c r="B44" s="1"/>
      <c r="C44" s="32">
        <f>C43+4400</f>
        <v>255000</v>
      </c>
      <c r="D44" s="1"/>
      <c r="E44" s="1"/>
      <c r="F44" s="1"/>
      <c r="G44" s="1"/>
      <c r="H44" s="1"/>
      <c r="I44" s="118"/>
      <c r="J44" s="1"/>
      <c r="K44" s="85"/>
      <c r="L44" s="85"/>
      <c r="M44" s="85"/>
      <c r="N44" s="85"/>
      <c r="O44" s="1"/>
      <c r="P44" s="1"/>
      <c r="Q44" s="87"/>
      <c r="R44" s="1"/>
      <c r="S44" s="1"/>
      <c r="T44" s="1"/>
      <c r="U44" s="1"/>
      <c r="V44" s="1"/>
      <c r="W44" s="88"/>
      <c r="X44" s="1"/>
      <c r="Y44" s="1"/>
      <c r="Z44" s="1"/>
      <c r="AA44" s="1"/>
      <c r="AB44" s="21"/>
      <c r="AC44" s="78"/>
      <c r="AD44" s="78"/>
      <c r="AE44" s="85"/>
      <c r="AF44" s="85"/>
      <c r="AG44" s="85"/>
      <c r="AH44" s="85"/>
      <c r="AI44" s="86"/>
      <c r="AJ44" s="87"/>
      <c r="AK44" s="85"/>
      <c r="AL44" s="88"/>
      <c r="AM44" s="1"/>
    </row>
    <row r="45" spans="2:41">
      <c r="B45" s="1"/>
      <c r="C45" s="32">
        <f>C44+4400*12</f>
        <v>307800</v>
      </c>
      <c r="D45" s="1"/>
      <c r="E45" s="1"/>
      <c r="F45" s="1"/>
      <c r="G45" s="1"/>
      <c r="H45" s="1"/>
      <c r="I45" s="118"/>
      <c r="J45" s="1"/>
      <c r="K45" s="85"/>
      <c r="L45" s="85"/>
      <c r="M45" s="85"/>
      <c r="N45" s="85"/>
      <c r="O45" s="1"/>
      <c r="P45" s="1"/>
      <c r="Q45" s="87"/>
      <c r="R45" s="1"/>
      <c r="S45" s="1"/>
      <c r="T45" s="1"/>
      <c r="U45" s="1"/>
      <c r="V45" s="1"/>
      <c r="W45" s="1"/>
      <c r="X45" s="1"/>
      <c r="Y45" s="1"/>
      <c r="Z45" s="1"/>
    </row>
    <row r="46" spans="2:41">
      <c r="B46" s="1"/>
      <c r="C46" s="32">
        <f>C45+4400*12</f>
        <v>360600</v>
      </c>
      <c r="D46" s="1"/>
      <c r="E46" s="1"/>
      <c r="F46" s="1"/>
      <c r="G46" s="1"/>
      <c r="H46" s="1"/>
      <c r="I46" s="118"/>
      <c r="J46" s="1"/>
      <c r="K46" s="85"/>
      <c r="L46" s="1"/>
      <c r="M46" s="1"/>
      <c r="N46" s="1"/>
      <c r="O46" s="1"/>
      <c r="P46" s="1"/>
      <c r="Q46" s="87"/>
      <c r="R46" s="1"/>
      <c r="S46" s="1"/>
      <c r="T46" s="1"/>
      <c r="U46" s="1"/>
      <c r="V46" s="1"/>
      <c r="W46" s="1"/>
      <c r="X46" s="1"/>
      <c r="Y46" s="1"/>
      <c r="Z46" s="1"/>
    </row>
    <row r="47" spans="2:41">
      <c r="B47" s="1"/>
      <c r="C47" s="32">
        <f>C46+4400*12</f>
        <v>413400</v>
      </c>
      <c r="D47" s="1"/>
      <c r="E47" s="1"/>
      <c r="F47" s="1"/>
      <c r="G47" s="1"/>
      <c r="H47" s="78"/>
      <c r="I47" s="123"/>
      <c r="J47" s="78"/>
      <c r="K47" s="85"/>
      <c r="L47" s="1"/>
      <c r="M47" s="1"/>
      <c r="N47" s="1"/>
      <c r="O47" s="1"/>
      <c r="P47" s="1"/>
      <c r="Q47" s="87"/>
      <c r="R47" s="1"/>
      <c r="S47" s="1"/>
      <c r="T47" s="1"/>
      <c r="U47" s="1"/>
      <c r="V47" s="1"/>
      <c r="W47" s="1"/>
      <c r="X47" s="1"/>
      <c r="Y47" s="1"/>
      <c r="Z47" s="1"/>
    </row>
    <row r="48" spans="2:41">
      <c r="B48" s="1"/>
      <c r="C48" s="32">
        <f>C47+4400*12</f>
        <v>466200</v>
      </c>
      <c r="D48" s="1"/>
      <c r="E48" s="1"/>
      <c r="F48" s="1"/>
      <c r="G48" s="1"/>
      <c r="H48" s="118"/>
      <c r="I48" s="118"/>
      <c r="J48" s="118"/>
      <c r="K48" s="1"/>
      <c r="L48" s="117"/>
      <c r="M48" s="117"/>
      <c r="N48" s="117"/>
      <c r="O48" s="1"/>
      <c r="P48" s="117"/>
      <c r="Q48" s="83"/>
      <c r="R48" s="117"/>
      <c r="S48" s="1"/>
      <c r="T48" s="1"/>
      <c r="U48" s="1"/>
      <c r="V48" s="1"/>
      <c r="W48" s="1"/>
      <c r="X48" s="1"/>
      <c r="Y48" s="1"/>
      <c r="Z48" s="1"/>
    </row>
    <row r="49" spans="2:26">
      <c r="B49" s="1"/>
      <c r="C49" s="32">
        <f>C48+4400*12</f>
        <v>519000</v>
      </c>
      <c r="D49" s="1"/>
      <c r="E49" s="1"/>
      <c r="F49" s="1"/>
      <c r="G49" s="1"/>
      <c r="H49" s="118"/>
      <c r="I49" s="78"/>
      <c r="J49" s="119"/>
      <c r="K49" s="84"/>
      <c r="L49" s="84"/>
      <c r="M49" s="84"/>
      <c r="N49" s="84"/>
      <c r="O49" s="84"/>
      <c r="P49" s="84"/>
      <c r="Q49" s="84"/>
      <c r="R49" s="84"/>
      <c r="S49" s="1"/>
      <c r="T49" s="1"/>
      <c r="U49" s="1"/>
      <c r="V49" s="1"/>
      <c r="W49" s="1"/>
      <c r="X49" s="1"/>
      <c r="Y49" s="1"/>
      <c r="Z49" s="1"/>
    </row>
    <row r="50" spans="2:26">
      <c r="G50" s="77"/>
      <c r="H50" s="21"/>
      <c r="I50" s="78"/>
      <c r="J50" s="78"/>
      <c r="K50" s="85"/>
      <c r="L50" s="85"/>
      <c r="M50" s="85"/>
      <c r="N50" s="85"/>
      <c r="O50" s="86"/>
      <c r="P50" s="87"/>
      <c r="Q50" s="85"/>
      <c r="R50" s="88"/>
      <c r="U50" s="1"/>
      <c r="V50" s="1"/>
      <c r="W50" s="1"/>
      <c r="X50" s="1"/>
      <c r="Y50" s="1"/>
      <c r="Z50" s="1"/>
    </row>
    <row r="51" spans="2:26">
      <c r="G51" s="77"/>
      <c r="H51" s="89"/>
      <c r="I51" s="78"/>
      <c r="J51" s="78"/>
      <c r="K51" s="85"/>
      <c r="L51" s="85"/>
      <c r="M51" s="85"/>
      <c r="N51" s="85"/>
      <c r="O51" s="86"/>
      <c r="P51" s="87"/>
      <c r="Q51" s="88"/>
      <c r="R51" s="88"/>
      <c r="U51" s="1"/>
      <c r="V51" s="1"/>
      <c r="W51" s="1"/>
      <c r="X51" s="1"/>
      <c r="Y51" s="1"/>
      <c r="Z51" s="1"/>
    </row>
    <row r="52" spans="2:26">
      <c r="G52" s="77"/>
      <c r="H52" s="21"/>
      <c r="I52" s="78"/>
      <c r="J52" s="78"/>
      <c r="K52" s="85"/>
      <c r="L52" s="85"/>
      <c r="M52" s="85"/>
      <c r="N52" s="85"/>
      <c r="O52" s="90"/>
      <c r="P52" s="87"/>
      <c r="Q52" s="88"/>
      <c r="R52" s="88"/>
      <c r="U52" s="1"/>
      <c r="V52" s="1"/>
      <c r="W52" s="1"/>
      <c r="X52" s="1"/>
      <c r="Y52" s="1"/>
      <c r="Z52" s="1"/>
    </row>
    <row r="53" spans="2:26">
      <c r="H53" s="78"/>
      <c r="I53" s="78"/>
      <c r="J53" s="33"/>
      <c r="U53" s="1"/>
      <c r="V53" s="1"/>
      <c r="W53" s="1"/>
      <c r="X53" s="1"/>
      <c r="Y53" s="1"/>
      <c r="Z53" s="1"/>
    </row>
    <row r="54" spans="2:26">
      <c r="H54" s="78"/>
      <c r="I54" s="1"/>
      <c r="U54" s="1"/>
      <c r="V54" s="1"/>
      <c r="W54" s="1"/>
      <c r="X54" s="1"/>
      <c r="Y54" s="1"/>
      <c r="Z54" s="1"/>
    </row>
    <row r="55" spans="2:26">
      <c r="H55" s="33"/>
      <c r="I55" s="1"/>
    </row>
    <row r="56" spans="2:26">
      <c r="H56" s="33"/>
      <c r="I56" s="1"/>
    </row>
    <row r="57" spans="2:26">
      <c r="H57" s="78"/>
      <c r="I57" s="1"/>
    </row>
    <row r="58" spans="2:26">
      <c r="H58" s="78"/>
    </row>
    <row r="59" spans="2:26">
      <c r="H59" s="78"/>
    </row>
    <row r="60" spans="2:26">
      <c r="H60" s="79"/>
    </row>
    <row r="61" spans="2:26">
      <c r="H61" s="78"/>
    </row>
    <row r="62" spans="2:26">
      <c r="H62" s="78"/>
    </row>
    <row r="63" spans="2:26">
      <c r="H63" s="78"/>
    </row>
    <row r="64" spans="2:26">
      <c r="H64" s="78"/>
    </row>
  </sheetData>
  <mergeCells count="33">
    <mergeCell ref="R5:S5"/>
    <mergeCell ref="R2:S2"/>
    <mergeCell ref="A3:A4"/>
    <mergeCell ref="B3:B4"/>
    <mergeCell ref="I3:I4"/>
    <mergeCell ref="R3:S4"/>
    <mergeCell ref="E35:F35"/>
    <mergeCell ref="E36:F36"/>
    <mergeCell ref="E37:F37"/>
    <mergeCell ref="AL2:AM2"/>
    <mergeCell ref="U3:U4"/>
    <mergeCell ref="V3:V4"/>
    <mergeCell ref="AC3:AC4"/>
    <mergeCell ref="AL3:AM4"/>
    <mergeCell ref="AL5:AM5"/>
    <mergeCell ref="AL9:AM9"/>
    <mergeCell ref="R9:S9"/>
    <mergeCell ref="R11:S11"/>
    <mergeCell ref="R30:S30"/>
    <mergeCell ref="E33:F33"/>
    <mergeCell ref="H33:H34"/>
    <mergeCell ref="E34:F34"/>
    <mergeCell ref="AO2:AQ2"/>
    <mergeCell ref="AL30:AM30"/>
    <mergeCell ref="Y33:Z33"/>
    <mergeCell ref="AB33:AB34"/>
    <mergeCell ref="Y34:Z34"/>
    <mergeCell ref="Y36:Z36"/>
    <mergeCell ref="Y37:Z37"/>
    <mergeCell ref="AO3:AO4"/>
    <mergeCell ref="AP3:AP4"/>
    <mergeCell ref="AQ3:AQ4"/>
    <mergeCell ref="Y35:Z35"/>
  </mergeCells>
  <phoneticPr fontId="2"/>
  <pageMargins left="0.23622047244094491" right="0.23622047244094491" top="0.74803149606299213" bottom="0.74803149606299213" header="0.31496062992125984" footer="0.31496062992125984"/>
  <pageSetup paperSize="8" scale="78" orientation="landscape" cellComments="asDisplayed"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B1:Q66"/>
  <sheetViews>
    <sheetView topLeftCell="A19" workbookViewId="0">
      <selection activeCell="N67" sqref="N67"/>
    </sheetView>
  </sheetViews>
  <sheetFormatPr defaultRowHeight="12"/>
  <cols>
    <col min="1" max="1" width="9" style="95"/>
    <col min="2" max="2" width="9" style="96"/>
    <col min="3" max="3" width="9" style="95"/>
    <col min="4" max="4" width="18.5" style="98" bestFit="1" customWidth="1"/>
    <col min="5" max="5" width="9" style="100"/>
    <col min="6" max="7" width="9" style="96"/>
    <col min="8" max="8" width="18.5" style="97" bestFit="1" customWidth="1"/>
    <col min="9" max="9" width="9" style="99"/>
    <col min="10" max="11" width="9" style="96"/>
    <col min="12" max="12" width="18.5" style="98" bestFit="1" customWidth="1"/>
    <col min="13" max="13" width="9" style="101"/>
    <col min="14" max="15" width="9" style="95"/>
    <col min="16" max="16" width="18.5" style="95" bestFit="1" customWidth="1"/>
    <col min="17" max="16384" width="9" style="95"/>
  </cols>
  <sheetData>
    <row r="1" spans="2:17">
      <c r="D1" s="98" t="s">
        <v>621</v>
      </c>
    </row>
    <row r="2" spans="2:17">
      <c r="C2" s="96"/>
      <c r="D2" s="97"/>
      <c r="E2" s="99"/>
    </row>
    <row r="3" spans="2:17">
      <c r="B3" s="103" t="s">
        <v>131</v>
      </c>
      <c r="C3" s="103" t="s">
        <v>130</v>
      </c>
      <c r="D3" s="105" t="s">
        <v>6</v>
      </c>
      <c r="E3" s="115" t="s">
        <v>68</v>
      </c>
      <c r="F3" s="112" t="s">
        <v>131</v>
      </c>
      <c r="G3" s="103" t="s">
        <v>130</v>
      </c>
      <c r="H3" s="105" t="s">
        <v>6</v>
      </c>
      <c r="I3" s="113" t="s">
        <v>68</v>
      </c>
      <c r="J3" s="111" t="s">
        <v>131</v>
      </c>
      <c r="K3" s="103" t="s">
        <v>130</v>
      </c>
      <c r="L3" s="105" t="s">
        <v>6</v>
      </c>
      <c r="M3" s="116" t="s">
        <v>68</v>
      </c>
      <c r="N3" s="111" t="s">
        <v>131</v>
      </c>
      <c r="O3" s="103" t="s">
        <v>130</v>
      </c>
      <c r="P3" s="105" t="s">
        <v>6</v>
      </c>
      <c r="Q3" s="104" t="s">
        <v>68</v>
      </c>
    </row>
    <row r="4" spans="2:17">
      <c r="B4" s="103" t="s">
        <v>174</v>
      </c>
      <c r="C4" s="108">
        <v>0</v>
      </c>
      <c r="D4" s="106">
        <v>0</v>
      </c>
      <c r="E4" s="110">
        <f>C4*D4</f>
        <v>0</v>
      </c>
      <c r="F4" s="237" t="s">
        <v>72</v>
      </c>
      <c r="G4" s="234">
        <f>C63+2400</f>
        <v>85000</v>
      </c>
      <c r="H4" s="235">
        <v>0.98750000000000004</v>
      </c>
      <c r="I4" s="238">
        <f>G4*H4</f>
        <v>83937.5</v>
      </c>
      <c r="J4" s="239" t="s">
        <v>77</v>
      </c>
      <c r="K4" s="234">
        <f>G63+4400</f>
        <v>255000</v>
      </c>
      <c r="L4" s="240">
        <v>1.0034000000000001</v>
      </c>
      <c r="M4" s="241">
        <f>K4*L4</f>
        <v>255867.00000000003</v>
      </c>
      <c r="N4" s="237" t="s">
        <v>84</v>
      </c>
      <c r="O4" s="234">
        <f>K63+4400</f>
        <v>519000</v>
      </c>
      <c r="P4" s="240">
        <v>1.0196000000000001</v>
      </c>
      <c r="Q4" s="242">
        <f>O4*P4</f>
        <v>529172.4</v>
      </c>
    </row>
    <row r="5" spans="2:17">
      <c r="B5" s="103" t="s">
        <v>132</v>
      </c>
      <c r="C5" s="104">
        <v>1400</v>
      </c>
      <c r="D5" s="105">
        <f>0+(D16-D4)*1/12</f>
        <v>7.7925000000000008E-2</v>
      </c>
      <c r="E5" s="110">
        <f t="shared" ref="E5:E63" si="0">C5*D5</f>
        <v>109.09500000000001</v>
      </c>
      <c r="F5" s="112" t="s">
        <v>164</v>
      </c>
      <c r="G5" s="104">
        <f>G4+2400</f>
        <v>87400</v>
      </c>
      <c r="H5" s="105">
        <f>H4+(H16-H4)*1/12</f>
        <v>0.98854166666666665</v>
      </c>
      <c r="I5" s="113">
        <f>G5*H5</f>
        <v>86398.541666666672</v>
      </c>
      <c r="J5" s="111" t="s">
        <v>214</v>
      </c>
      <c r="K5" s="104">
        <f>K4+4400</f>
        <v>259400</v>
      </c>
      <c r="L5" s="106">
        <f>L4+(L16-L4)*1/12</f>
        <v>1.0036750000000001</v>
      </c>
      <c r="M5" s="114">
        <f t="shared" ref="M5:M63" si="1">K5*L5</f>
        <v>260353.29500000001</v>
      </c>
      <c r="N5" s="112" t="s">
        <v>266</v>
      </c>
      <c r="O5" s="104">
        <f>O4+4400</f>
        <v>523400</v>
      </c>
      <c r="P5" s="106">
        <f>P4+(P16-P4)*1/12</f>
        <v>1.0198750000000001</v>
      </c>
      <c r="Q5" s="107">
        <f t="shared" ref="Q5:Q63" si="2">O5*P5</f>
        <v>533802.57500000007</v>
      </c>
    </row>
    <row r="6" spans="2:17">
      <c r="B6" s="103" t="s">
        <v>133</v>
      </c>
      <c r="C6" s="104">
        <f>C5+1400</f>
        <v>2800</v>
      </c>
      <c r="D6" s="105">
        <f>0+(D16-D4)*2/12</f>
        <v>0.15585000000000002</v>
      </c>
      <c r="E6" s="110">
        <f t="shared" si="0"/>
        <v>436.38000000000005</v>
      </c>
      <c r="F6" s="112" t="s">
        <v>165</v>
      </c>
      <c r="G6" s="104">
        <f>G5+2400</f>
        <v>89800</v>
      </c>
      <c r="H6" s="105">
        <f>H4+(H16-H4)*2/12</f>
        <v>0.98958333333333337</v>
      </c>
      <c r="I6" s="113">
        <f t="shared" ref="I6:I63" si="3">G6*H6</f>
        <v>88864.583333333343</v>
      </c>
      <c r="J6" s="111" t="s">
        <v>215</v>
      </c>
      <c r="K6" s="104">
        <f t="shared" ref="K6:K63" si="4">K5+4400</f>
        <v>263800</v>
      </c>
      <c r="L6" s="106">
        <f>L4+(L16-L4)*2/12</f>
        <v>1.0039500000000001</v>
      </c>
      <c r="M6" s="114">
        <f t="shared" si="1"/>
        <v>264842.01</v>
      </c>
      <c r="N6" s="112" t="s">
        <v>267</v>
      </c>
      <c r="O6" s="104">
        <f t="shared" ref="O6:O64" si="5">O5+4400</f>
        <v>527800</v>
      </c>
      <c r="P6" s="106">
        <f>P4+(P16-P4)*2/12</f>
        <v>1.0201500000000001</v>
      </c>
      <c r="Q6" s="107">
        <f t="shared" si="2"/>
        <v>538435.17000000004</v>
      </c>
    </row>
    <row r="7" spans="2:17">
      <c r="B7" s="103" t="s">
        <v>26</v>
      </c>
      <c r="C7" s="104">
        <f t="shared" ref="C7:C63" si="6">C6+1400</f>
        <v>4200</v>
      </c>
      <c r="D7" s="105">
        <f>0+(D16-D4)*3/12</f>
        <v>0.23377499999999998</v>
      </c>
      <c r="E7" s="110">
        <f t="shared" si="0"/>
        <v>981.8549999999999</v>
      </c>
      <c r="F7" s="112" t="s">
        <v>166</v>
      </c>
      <c r="G7" s="104">
        <f t="shared" ref="G7:G39" si="7">G6+2400</f>
        <v>92200</v>
      </c>
      <c r="H7" s="105">
        <f>H4+(H16-H4)*3/12</f>
        <v>0.99062500000000009</v>
      </c>
      <c r="I7" s="113">
        <f t="shared" si="3"/>
        <v>91335.625000000015</v>
      </c>
      <c r="J7" s="111" t="s">
        <v>216</v>
      </c>
      <c r="K7" s="104">
        <f t="shared" si="4"/>
        <v>268200</v>
      </c>
      <c r="L7" s="106">
        <f>L4+(L16-L4)*3/12</f>
        <v>1.0042249999999999</v>
      </c>
      <c r="M7" s="114">
        <f t="shared" si="1"/>
        <v>269333.14499999996</v>
      </c>
      <c r="N7" s="112" t="s">
        <v>268</v>
      </c>
      <c r="O7" s="104">
        <f t="shared" si="5"/>
        <v>532200</v>
      </c>
      <c r="P7" s="106">
        <f>P4+(P16-P4)*3/12</f>
        <v>1.0204249999999999</v>
      </c>
      <c r="Q7" s="107">
        <f t="shared" si="2"/>
        <v>543070.18499999994</v>
      </c>
    </row>
    <row r="8" spans="2:17">
      <c r="B8" s="103" t="s">
        <v>134</v>
      </c>
      <c r="C8" s="104">
        <f t="shared" si="6"/>
        <v>5600</v>
      </c>
      <c r="D8" s="105">
        <f>0+(D16-D4)*4/12</f>
        <v>0.31170000000000003</v>
      </c>
      <c r="E8" s="110">
        <f t="shared" si="0"/>
        <v>1745.5200000000002</v>
      </c>
      <c r="F8" s="112" t="s">
        <v>66</v>
      </c>
      <c r="G8" s="104">
        <f t="shared" si="7"/>
        <v>94600</v>
      </c>
      <c r="H8" s="105">
        <f>H4+(H16-H4)*4/12</f>
        <v>0.9916666666666667</v>
      </c>
      <c r="I8" s="113">
        <f t="shared" si="3"/>
        <v>93811.666666666672</v>
      </c>
      <c r="J8" s="111" t="s">
        <v>217</v>
      </c>
      <c r="K8" s="104">
        <f t="shared" si="4"/>
        <v>272600</v>
      </c>
      <c r="L8" s="106">
        <f>L4+(L16-L4)*4/12</f>
        <v>1.0044999999999999</v>
      </c>
      <c r="M8" s="114">
        <f t="shared" si="1"/>
        <v>273826.7</v>
      </c>
      <c r="N8" s="112" t="s">
        <v>269</v>
      </c>
      <c r="O8" s="104">
        <f t="shared" si="5"/>
        <v>536600</v>
      </c>
      <c r="P8" s="106">
        <f>P4+(P16-P4)*4/12</f>
        <v>1.0206999999999999</v>
      </c>
      <c r="Q8" s="107">
        <f t="shared" si="2"/>
        <v>547707.62</v>
      </c>
    </row>
    <row r="9" spans="2:17">
      <c r="B9" s="103" t="s">
        <v>135</v>
      </c>
      <c r="C9" s="104">
        <f t="shared" si="6"/>
        <v>7000</v>
      </c>
      <c r="D9" s="105">
        <f>0+(D16-D4)*5/12</f>
        <v>0.38962500000000005</v>
      </c>
      <c r="E9" s="110">
        <f t="shared" si="0"/>
        <v>2727.3750000000005</v>
      </c>
      <c r="F9" s="112" t="s">
        <v>167</v>
      </c>
      <c r="G9" s="104">
        <f t="shared" si="7"/>
        <v>97000</v>
      </c>
      <c r="H9" s="105">
        <f>H4+(H16-H4)*5/12</f>
        <v>0.9927083333333333</v>
      </c>
      <c r="I9" s="113">
        <f t="shared" si="3"/>
        <v>96292.708333333328</v>
      </c>
      <c r="J9" s="111" t="s">
        <v>218</v>
      </c>
      <c r="K9" s="104">
        <f t="shared" si="4"/>
        <v>277000</v>
      </c>
      <c r="L9" s="106">
        <f>L4+(L16-L4)*5/12</f>
        <v>1.004775</v>
      </c>
      <c r="M9" s="114">
        <f t="shared" si="1"/>
        <v>278322.67499999999</v>
      </c>
      <c r="N9" s="112" t="s">
        <v>270</v>
      </c>
      <c r="O9" s="104">
        <f t="shared" si="5"/>
        <v>541000</v>
      </c>
      <c r="P9" s="106">
        <f>P4+(P16-P4)*5/12</f>
        <v>1.020975</v>
      </c>
      <c r="Q9" s="107">
        <f t="shared" si="2"/>
        <v>552347.47499999998</v>
      </c>
    </row>
    <row r="10" spans="2:17">
      <c r="B10" s="103" t="s">
        <v>27</v>
      </c>
      <c r="C10" s="104">
        <f t="shared" si="6"/>
        <v>8400</v>
      </c>
      <c r="D10" s="105">
        <f>0+(D16-D4)*6/12</f>
        <v>0.46754999999999997</v>
      </c>
      <c r="E10" s="110">
        <f t="shared" si="0"/>
        <v>3927.4199999999996</v>
      </c>
      <c r="F10" s="112" t="s">
        <v>168</v>
      </c>
      <c r="G10" s="104">
        <f t="shared" si="7"/>
        <v>99400</v>
      </c>
      <c r="H10" s="105">
        <f>H4+(H16-H4)*6/12</f>
        <v>0.99375000000000002</v>
      </c>
      <c r="I10" s="113">
        <f t="shared" si="3"/>
        <v>98778.75</v>
      </c>
      <c r="J10" s="111" t="s">
        <v>219</v>
      </c>
      <c r="K10" s="104">
        <f t="shared" si="4"/>
        <v>281400</v>
      </c>
      <c r="L10" s="106">
        <f>L4+(L16-L4)*6/12</f>
        <v>1.00505</v>
      </c>
      <c r="M10" s="114">
        <f t="shared" si="1"/>
        <v>282821.07</v>
      </c>
      <c r="N10" s="112" t="s">
        <v>271</v>
      </c>
      <c r="O10" s="104">
        <f t="shared" si="5"/>
        <v>545400</v>
      </c>
      <c r="P10" s="106">
        <f>P4+(P16-P4)*6/12</f>
        <v>1.02125</v>
      </c>
      <c r="Q10" s="107">
        <f t="shared" si="2"/>
        <v>556989.75</v>
      </c>
    </row>
    <row r="11" spans="2:17">
      <c r="B11" s="103" t="s">
        <v>136</v>
      </c>
      <c r="C11" s="104">
        <f t="shared" si="6"/>
        <v>9800</v>
      </c>
      <c r="D11" s="105">
        <f>0+(D16-D4)*7/12</f>
        <v>0.54547500000000004</v>
      </c>
      <c r="E11" s="110">
        <f t="shared" si="0"/>
        <v>5345.6550000000007</v>
      </c>
      <c r="F11" s="112" t="s">
        <v>169</v>
      </c>
      <c r="G11" s="104">
        <f t="shared" si="7"/>
        <v>101800</v>
      </c>
      <c r="H11" s="105">
        <f>H4+(H16-H4)*7/12</f>
        <v>0.99479166666666674</v>
      </c>
      <c r="I11" s="113">
        <f t="shared" si="3"/>
        <v>101269.79166666667</v>
      </c>
      <c r="J11" s="111" t="s">
        <v>220</v>
      </c>
      <c r="K11" s="104">
        <f t="shared" si="4"/>
        <v>285800</v>
      </c>
      <c r="L11" s="106">
        <f>L4+(L16-L4)*7/12</f>
        <v>1.005325</v>
      </c>
      <c r="M11" s="114">
        <f t="shared" si="1"/>
        <v>287321.88500000001</v>
      </c>
      <c r="N11" s="112" t="s">
        <v>272</v>
      </c>
      <c r="O11" s="104">
        <f t="shared" si="5"/>
        <v>549800</v>
      </c>
      <c r="P11" s="106">
        <f>P4+(P16-P4)*7/12</f>
        <v>1.021525</v>
      </c>
      <c r="Q11" s="107">
        <f t="shared" si="2"/>
        <v>561634.44500000007</v>
      </c>
    </row>
    <row r="12" spans="2:17">
      <c r="B12" s="103" t="s">
        <v>110</v>
      </c>
      <c r="C12" s="104">
        <f t="shared" si="6"/>
        <v>11200</v>
      </c>
      <c r="D12" s="105">
        <f>0+(D16-D4)*8/12</f>
        <v>0.62340000000000007</v>
      </c>
      <c r="E12" s="110">
        <f t="shared" si="0"/>
        <v>6982.0800000000008</v>
      </c>
      <c r="F12" s="112" t="s">
        <v>170</v>
      </c>
      <c r="G12" s="104">
        <f t="shared" si="7"/>
        <v>104200</v>
      </c>
      <c r="H12" s="105">
        <f>H4+(H16-H4)*8/12</f>
        <v>0.99583333333333335</v>
      </c>
      <c r="I12" s="113">
        <f t="shared" si="3"/>
        <v>103765.83333333333</v>
      </c>
      <c r="J12" s="111" t="s">
        <v>221</v>
      </c>
      <c r="K12" s="104">
        <f t="shared" si="4"/>
        <v>290200</v>
      </c>
      <c r="L12" s="106">
        <f>L4+(L16-L4)*8/12</f>
        <v>1.0056</v>
      </c>
      <c r="M12" s="114">
        <f t="shared" si="1"/>
        <v>291825.12</v>
      </c>
      <c r="N12" s="112" t="s">
        <v>273</v>
      </c>
      <c r="O12" s="104">
        <f t="shared" si="5"/>
        <v>554200</v>
      </c>
      <c r="P12" s="106">
        <f>P4+(P16-P4)*8/12</f>
        <v>1.0218</v>
      </c>
      <c r="Q12" s="107">
        <f t="shared" si="2"/>
        <v>566281.56000000006</v>
      </c>
    </row>
    <row r="13" spans="2:17">
      <c r="B13" s="103" t="s">
        <v>107</v>
      </c>
      <c r="C13" s="104">
        <f t="shared" si="6"/>
        <v>12600</v>
      </c>
      <c r="D13" s="105">
        <f>0+(D16-D4)*9/12</f>
        <v>0.70132500000000009</v>
      </c>
      <c r="E13" s="110">
        <f t="shared" si="0"/>
        <v>8836.6950000000015</v>
      </c>
      <c r="F13" s="112" t="s">
        <v>171</v>
      </c>
      <c r="G13" s="104">
        <f t="shared" si="7"/>
        <v>106600</v>
      </c>
      <c r="H13" s="105">
        <f>H4+(H16-H4)*9/12</f>
        <v>0.99687499999999996</v>
      </c>
      <c r="I13" s="113">
        <f t="shared" si="3"/>
        <v>106266.875</v>
      </c>
      <c r="J13" s="111" t="s">
        <v>222</v>
      </c>
      <c r="K13" s="104">
        <f t="shared" si="4"/>
        <v>294600</v>
      </c>
      <c r="L13" s="106">
        <f>L4+(L16-L4)*9/12</f>
        <v>1.0058750000000001</v>
      </c>
      <c r="M13" s="114">
        <f t="shared" si="1"/>
        <v>296330.77500000002</v>
      </c>
      <c r="N13" s="112" t="s">
        <v>274</v>
      </c>
      <c r="O13" s="104">
        <f t="shared" si="5"/>
        <v>558600</v>
      </c>
      <c r="P13" s="106">
        <f>P4+(P16-P4)*9/12</f>
        <v>1.0220750000000001</v>
      </c>
      <c r="Q13" s="107">
        <f t="shared" si="2"/>
        <v>570931.09500000009</v>
      </c>
    </row>
    <row r="14" spans="2:17">
      <c r="B14" s="103" t="s">
        <v>137</v>
      </c>
      <c r="C14" s="104">
        <f t="shared" si="6"/>
        <v>14000</v>
      </c>
      <c r="D14" s="105">
        <f>0+(D16-D4)*10/12</f>
        <v>0.77925000000000011</v>
      </c>
      <c r="E14" s="110">
        <f t="shared" si="0"/>
        <v>10909.500000000002</v>
      </c>
      <c r="F14" s="112" t="s">
        <v>172</v>
      </c>
      <c r="G14" s="104">
        <f t="shared" si="7"/>
        <v>109000</v>
      </c>
      <c r="H14" s="105">
        <f>H4+(H16-H4)*10/12</f>
        <v>0.99791666666666667</v>
      </c>
      <c r="I14" s="113">
        <f t="shared" si="3"/>
        <v>108772.91666666667</v>
      </c>
      <c r="J14" s="111" t="s">
        <v>63</v>
      </c>
      <c r="K14" s="104">
        <f t="shared" si="4"/>
        <v>299000</v>
      </c>
      <c r="L14" s="106">
        <f>L4+(L16-L4)*10/12</f>
        <v>1.0061499999999999</v>
      </c>
      <c r="M14" s="114">
        <f t="shared" si="1"/>
        <v>300838.84999999998</v>
      </c>
      <c r="N14" s="112" t="s">
        <v>275</v>
      </c>
      <c r="O14" s="104">
        <f t="shared" si="5"/>
        <v>563000</v>
      </c>
      <c r="P14" s="106">
        <f>P4+(P16-P4)*10/12</f>
        <v>1.0223499999999999</v>
      </c>
      <c r="Q14" s="107">
        <f t="shared" si="2"/>
        <v>575583.04999999993</v>
      </c>
    </row>
    <row r="15" spans="2:17">
      <c r="B15" s="103" t="s">
        <v>104</v>
      </c>
      <c r="C15" s="104">
        <f t="shared" si="6"/>
        <v>15400</v>
      </c>
      <c r="D15" s="105">
        <f>0+(D16-D4)*11/12</f>
        <v>0.85717500000000013</v>
      </c>
      <c r="E15" s="110">
        <f t="shared" si="0"/>
        <v>13200.495000000003</v>
      </c>
      <c r="F15" s="112" t="s">
        <v>173</v>
      </c>
      <c r="G15" s="104">
        <f t="shared" si="7"/>
        <v>111400</v>
      </c>
      <c r="H15" s="105">
        <f>H4+(H16-H4)*11/12</f>
        <v>0.99895833333333339</v>
      </c>
      <c r="I15" s="113">
        <f t="shared" si="3"/>
        <v>111283.95833333334</v>
      </c>
      <c r="J15" s="111" t="s">
        <v>223</v>
      </c>
      <c r="K15" s="104">
        <f t="shared" si="4"/>
        <v>303400</v>
      </c>
      <c r="L15" s="106">
        <f>L4+(L16-L4)*11/12</f>
        <v>1.0064249999999999</v>
      </c>
      <c r="M15" s="114">
        <f t="shared" si="1"/>
        <v>305349.34499999997</v>
      </c>
      <c r="N15" s="112" t="s">
        <v>276</v>
      </c>
      <c r="O15" s="104">
        <f t="shared" si="5"/>
        <v>567400</v>
      </c>
      <c r="P15" s="106">
        <f>P4+(P16-P4)*11/12</f>
        <v>1.0226249999999999</v>
      </c>
      <c r="Q15" s="107">
        <f t="shared" si="2"/>
        <v>580237.42499999993</v>
      </c>
    </row>
    <row r="16" spans="2:17">
      <c r="B16" s="233" t="s">
        <v>53</v>
      </c>
      <c r="C16" s="234">
        <f t="shared" si="6"/>
        <v>16800</v>
      </c>
      <c r="D16" s="235">
        <v>0.93510000000000004</v>
      </c>
      <c r="E16" s="236">
        <f t="shared" si="0"/>
        <v>15709.68</v>
      </c>
      <c r="F16" s="237" t="s">
        <v>52</v>
      </c>
      <c r="G16" s="234">
        <f t="shared" si="7"/>
        <v>113800</v>
      </c>
      <c r="H16" s="235">
        <v>1</v>
      </c>
      <c r="I16" s="238">
        <f t="shared" si="3"/>
        <v>113800</v>
      </c>
      <c r="J16" s="239" t="s">
        <v>80</v>
      </c>
      <c r="K16" s="234">
        <f t="shared" si="4"/>
        <v>307800</v>
      </c>
      <c r="L16" s="240">
        <v>1.0066999999999999</v>
      </c>
      <c r="M16" s="241">
        <f t="shared" si="1"/>
        <v>309862.25999999995</v>
      </c>
      <c r="N16" s="237" t="s">
        <v>277</v>
      </c>
      <c r="O16" s="234">
        <f t="shared" si="5"/>
        <v>571800</v>
      </c>
      <c r="P16" s="240">
        <v>1.0228999999999999</v>
      </c>
      <c r="Q16" s="242">
        <f t="shared" si="2"/>
        <v>584894.22</v>
      </c>
    </row>
    <row r="17" spans="2:17">
      <c r="B17" s="103" t="s">
        <v>138</v>
      </c>
      <c r="C17" s="104">
        <f t="shared" si="6"/>
        <v>18200</v>
      </c>
      <c r="D17" s="105">
        <f>D16+(D28-D16)*1/12</f>
        <v>0.93765833333333337</v>
      </c>
      <c r="E17" s="110">
        <f t="shared" si="0"/>
        <v>17065.381666666668</v>
      </c>
      <c r="F17" s="112" t="s">
        <v>175</v>
      </c>
      <c r="G17" s="104">
        <f t="shared" si="7"/>
        <v>116200</v>
      </c>
      <c r="H17" s="109">
        <f>H16+(H28-H16)*1/12</f>
        <v>1.0000333333333333</v>
      </c>
      <c r="I17" s="113">
        <f t="shared" si="3"/>
        <v>116203.87333333334</v>
      </c>
      <c r="J17" s="111" t="s">
        <v>224</v>
      </c>
      <c r="K17" s="104">
        <f t="shared" si="4"/>
        <v>312200</v>
      </c>
      <c r="L17" s="106">
        <f>L16+(L28-L16)*1/12</f>
        <v>1.0069666666666666</v>
      </c>
      <c r="M17" s="114">
        <f t="shared" si="1"/>
        <v>314374.99333333329</v>
      </c>
      <c r="N17" s="112" t="s">
        <v>278</v>
      </c>
      <c r="O17" s="104">
        <f t="shared" si="5"/>
        <v>576200</v>
      </c>
      <c r="P17" s="106">
        <f>P16+(P28-P16)*1/12</f>
        <v>1.0231749999999999</v>
      </c>
      <c r="Q17" s="107">
        <f t="shared" si="2"/>
        <v>589553.43499999994</v>
      </c>
    </row>
    <row r="18" spans="2:17">
      <c r="B18" s="103" t="s">
        <v>139</v>
      </c>
      <c r="C18" s="104">
        <f t="shared" si="6"/>
        <v>19600</v>
      </c>
      <c r="D18" s="105">
        <f>D16+(D28-D16)*2/12</f>
        <v>0.9402166666666667</v>
      </c>
      <c r="E18" s="110">
        <f t="shared" si="0"/>
        <v>18428.246666666666</v>
      </c>
      <c r="F18" s="112" t="s">
        <v>176</v>
      </c>
      <c r="G18" s="104">
        <f t="shared" si="7"/>
        <v>118600</v>
      </c>
      <c r="H18" s="109">
        <f>H16+(H28-H16)*2/12</f>
        <v>1.0000666666666667</v>
      </c>
      <c r="I18" s="113">
        <f t="shared" si="3"/>
        <v>118607.90666666666</v>
      </c>
      <c r="J18" s="111" t="s">
        <v>225</v>
      </c>
      <c r="K18" s="104">
        <f t="shared" si="4"/>
        <v>316600</v>
      </c>
      <c r="L18" s="106">
        <f>L16+(L28-L16)*2/12</f>
        <v>1.0072333333333332</v>
      </c>
      <c r="M18" s="114">
        <f t="shared" si="1"/>
        <v>318890.0733333333</v>
      </c>
      <c r="N18" s="112" t="s">
        <v>279</v>
      </c>
      <c r="O18" s="104">
        <f t="shared" si="5"/>
        <v>580600</v>
      </c>
      <c r="P18" s="106">
        <f>P16+(P28-P16)*2/12</f>
        <v>1.02345</v>
      </c>
      <c r="Q18" s="107">
        <f t="shared" si="2"/>
        <v>594215.06999999995</v>
      </c>
    </row>
    <row r="19" spans="2:17">
      <c r="B19" s="103" t="s">
        <v>140</v>
      </c>
      <c r="C19" s="104">
        <f t="shared" si="6"/>
        <v>21000</v>
      </c>
      <c r="D19" s="105">
        <f>D16+(D28-D16)*3/12</f>
        <v>0.94277500000000003</v>
      </c>
      <c r="E19" s="110">
        <f t="shared" si="0"/>
        <v>19798.275000000001</v>
      </c>
      <c r="F19" s="112" t="s">
        <v>177</v>
      </c>
      <c r="G19" s="104">
        <f t="shared" si="7"/>
        <v>121000</v>
      </c>
      <c r="H19" s="109">
        <f>H16+(H28-H16)*3/12</f>
        <v>1.0001</v>
      </c>
      <c r="I19" s="113">
        <f t="shared" si="3"/>
        <v>121012.1</v>
      </c>
      <c r="J19" s="111" t="s">
        <v>226</v>
      </c>
      <c r="K19" s="104">
        <f t="shared" si="4"/>
        <v>321000</v>
      </c>
      <c r="L19" s="106">
        <f>L16+(L28-L16)*3/12</f>
        <v>1.0074999999999998</v>
      </c>
      <c r="M19" s="114">
        <f t="shared" si="1"/>
        <v>323407.49999999994</v>
      </c>
      <c r="N19" s="112" t="s">
        <v>280</v>
      </c>
      <c r="O19" s="104">
        <f t="shared" si="5"/>
        <v>585000</v>
      </c>
      <c r="P19" s="106">
        <f>P16+(P28-P16)*3/12</f>
        <v>1.023725</v>
      </c>
      <c r="Q19" s="107">
        <f t="shared" si="2"/>
        <v>598879.125</v>
      </c>
    </row>
    <row r="20" spans="2:17">
      <c r="B20" s="103" t="s">
        <v>141</v>
      </c>
      <c r="C20" s="104">
        <f t="shared" si="6"/>
        <v>22400</v>
      </c>
      <c r="D20" s="105">
        <f>D16+(D28-D16)*4/12</f>
        <v>0.94533333333333336</v>
      </c>
      <c r="E20" s="110">
        <f t="shared" si="0"/>
        <v>21175.466666666667</v>
      </c>
      <c r="F20" s="112" t="s">
        <v>178</v>
      </c>
      <c r="G20" s="104">
        <f t="shared" si="7"/>
        <v>123400</v>
      </c>
      <c r="H20" s="109">
        <f>H16+(H28-H16)*4/12</f>
        <v>1.0001333333333333</v>
      </c>
      <c r="I20" s="113">
        <f t="shared" si="3"/>
        <v>123416.45333333334</v>
      </c>
      <c r="J20" s="111" t="s">
        <v>227</v>
      </c>
      <c r="K20" s="104">
        <f t="shared" si="4"/>
        <v>325400</v>
      </c>
      <c r="L20" s="106">
        <f>L16+(L28-L16)*4/12</f>
        <v>1.0077666666666667</v>
      </c>
      <c r="M20" s="114">
        <f t="shared" si="1"/>
        <v>327927.27333333332</v>
      </c>
      <c r="N20" s="112" t="s">
        <v>281</v>
      </c>
      <c r="O20" s="104">
        <f t="shared" si="5"/>
        <v>589400</v>
      </c>
      <c r="P20" s="106">
        <f>P16+(P28-P16)*4/12</f>
        <v>1.024</v>
      </c>
      <c r="Q20" s="107">
        <f t="shared" si="2"/>
        <v>603545.59999999998</v>
      </c>
    </row>
    <row r="21" spans="2:17">
      <c r="B21" s="103" t="s">
        <v>21</v>
      </c>
      <c r="C21" s="104">
        <f t="shared" si="6"/>
        <v>23800</v>
      </c>
      <c r="D21" s="105">
        <f>D16+(D28-D16)*5/12</f>
        <v>0.94789166666666669</v>
      </c>
      <c r="E21" s="110">
        <f t="shared" si="0"/>
        <v>22559.821666666667</v>
      </c>
      <c r="F21" s="112" t="s">
        <v>179</v>
      </c>
      <c r="G21" s="104">
        <f t="shared" si="7"/>
        <v>125800</v>
      </c>
      <c r="H21" s="109">
        <f>H16+(H28-H16)*5/12</f>
        <v>1.0001666666666666</v>
      </c>
      <c r="I21" s="113">
        <f t="shared" si="3"/>
        <v>125820.96666666666</v>
      </c>
      <c r="J21" s="111" t="s">
        <v>228</v>
      </c>
      <c r="K21" s="104">
        <f t="shared" si="4"/>
        <v>329800</v>
      </c>
      <c r="L21" s="106">
        <f>L16+(L28-L16)*5/12</f>
        <v>1.0080333333333333</v>
      </c>
      <c r="M21" s="114">
        <f t="shared" si="1"/>
        <v>332449.39333333331</v>
      </c>
      <c r="N21" s="112" t="s">
        <v>282</v>
      </c>
      <c r="O21" s="104">
        <f t="shared" si="5"/>
        <v>593800</v>
      </c>
      <c r="P21" s="106">
        <f>P16+(P28-P16)*5/12</f>
        <v>1.024275</v>
      </c>
      <c r="Q21" s="107">
        <f t="shared" si="2"/>
        <v>608214.495</v>
      </c>
    </row>
    <row r="22" spans="2:17">
      <c r="B22" s="103" t="s">
        <v>15</v>
      </c>
      <c r="C22" s="104">
        <f t="shared" si="6"/>
        <v>25200</v>
      </c>
      <c r="D22" s="105">
        <f>D16+(D28-D16)*6/12</f>
        <v>0.95045000000000002</v>
      </c>
      <c r="E22" s="110">
        <f t="shared" si="0"/>
        <v>23951.34</v>
      </c>
      <c r="F22" s="112" t="s">
        <v>180</v>
      </c>
      <c r="G22" s="104">
        <f t="shared" si="7"/>
        <v>128200</v>
      </c>
      <c r="H22" s="109">
        <f>H16+(H28-H16)*6/12</f>
        <v>1.0002</v>
      </c>
      <c r="I22" s="113">
        <f t="shared" si="3"/>
        <v>128225.64</v>
      </c>
      <c r="J22" s="111" t="s">
        <v>229</v>
      </c>
      <c r="K22" s="104">
        <f t="shared" si="4"/>
        <v>334200</v>
      </c>
      <c r="L22" s="106">
        <f>L16+(L28-L16)*6/12</f>
        <v>1.0083</v>
      </c>
      <c r="M22" s="114">
        <f t="shared" si="1"/>
        <v>336973.86</v>
      </c>
      <c r="N22" s="112" t="s">
        <v>283</v>
      </c>
      <c r="O22" s="104">
        <f t="shared" si="5"/>
        <v>598200</v>
      </c>
      <c r="P22" s="106">
        <f>P16+(P28-P16)*6/12</f>
        <v>1.0245500000000001</v>
      </c>
      <c r="Q22" s="107">
        <f t="shared" si="2"/>
        <v>612885.81000000006</v>
      </c>
    </row>
    <row r="23" spans="2:17">
      <c r="B23" s="103" t="s">
        <v>142</v>
      </c>
      <c r="C23" s="104">
        <f t="shared" si="6"/>
        <v>26600</v>
      </c>
      <c r="D23" s="105">
        <f>D16+(D28-D16)*7/12</f>
        <v>0.95300833333333335</v>
      </c>
      <c r="E23" s="110">
        <f t="shared" si="0"/>
        <v>25350.021666666667</v>
      </c>
      <c r="F23" s="112" t="s">
        <v>181</v>
      </c>
      <c r="G23" s="104">
        <f t="shared" si="7"/>
        <v>130600</v>
      </c>
      <c r="H23" s="109">
        <f>H16+(H28-H16)*7/12</f>
        <v>1.0002333333333333</v>
      </c>
      <c r="I23" s="113">
        <f t="shared" si="3"/>
        <v>130630.47333333333</v>
      </c>
      <c r="J23" s="111" t="s">
        <v>230</v>
      </c>
      <c r="K23" s="104">
        <f t="shared" si="4"/>
        <v>338600</v>
      </c>
      <c r="L23" s="106">
        <f>L16+(L28-L16)*7/12</f>
        <v>1.0085666666666666</v>
      </c>
      <c r="M23" s="114">
        <f t="shared" si="1"/>
        <v>341500.67333333334</v>
      </c>
      <c r="N23" s="112" t="s">
        <v>284</v>
      </c>
      <c r="O23" s="104">
        <f t="shared" si="5"/>
        <v>602600</v>
      </c>
      <c r="P23" s="106">
        <f>P16+(P28-P16)*7/12</f>
        <v>1.0248249999999999</v>
      </c>
      <c r="Q23" s="107">
        <f t="shared" si="2"/>
        <v>617559.54499999993</v>
      </c>
    </row>
    <row r="24" spans="2:17">
      <c r="B24" s="103" t="s">
        <v>22</v>
      </c>
      <c r="C24" s="104">
        <f t="shared" si="6"/>
        <v>28000</v>
      </c>
      <c r="D24" s="105">
        <f>D16+(D28-D16)*8/12</f>
        <v>0.95556666666666668</v>
      </c>
      <c r="E24" s="110">
        <f t="shared" si="0"/>
        <v>26755.866666666669</v>
      </c>
      <c r="F24" s="112" t="s">
        <v>182</v>
      </c>
      <c r="G24" s="104">
        <f t="shared" si="7"/>
        <v>133000</v>
      </c>
      <c r="H24" s="109">
        <f>H16+(H28-H16)*8/12</f>
        <v>1.0002666666666666</v>
      </c>
      <c r="I24" s="113">
        <f t="shared" si="3"/>
        <v>133035.46666666667</v>
      </c>
      <c r="J24" s="111" t="s">
        <v>231</v>
      </c>
      <c r="K24" s="104">
        <f t="shared" si="4"/>
        <v>343000</v>
      </c>
      <c r="L24" s="106">
        <f>L16+(L28-L16)*8/12</f>
        <v>1.0088333333333332</v>
      </c>
      <c r="M24" s="114">
        <f t="shared" si="1"/>
        <v>346029.83333333331</v>
      </c>
      <c r="N24" s="112" t="s">
        <v>285</v>
      </c>
      <c r="O24" s="104">
        <f t="shared" si="5"/>
        <v>607000</v>
      </c>
      <c r="P24" s="106">
        <f>P16+(P28-P16)*8/12</f>
        <v>1.0250999999999999</v>
      </c>
      <c r="Q24" s="107">
        <f t="shared" si="2"/>
        <v>622235.69999999995</v>
      </c>
    </row>
    <row r="25" spans="2:17">
      <c r="B25" s="103" t="s">
        <v>16</v>
      </c>
      <c r="C25" s="104">
        <f t="shared" si="6"/>
        <v>29400</v>
      </c>
      <c r="D25" s="105">
        <f>D16+(D28-D16)*9/12</f>
        <v>0.958125</v>
      </c>
      <c r="E25" s="110">
        <f t="shared" si="0"/>
        <v>28168.875</v>
      </c>
      <c r="F25" s="112" t="s">
        <v>183</v>
      </c>
      <c r="G25" s="104">
        <f t="shared" si="7"/>
        <v>135400</v>
      </c>
      <c r="H25" s="109">
        <f>H16+(H28-H16)*9/12</f>
        <v>1.0003</v>
      </c>
      <c r="I25" s="113">
        <f t="shared" si="3"/>
        <v>135440.62</v>
      </c>
      <c r="J25" s="111" t="s">
        <v>232</v>
      </c>
      <c r="K25" s="104">
        <f t="shared" si="4"/>
        <v>347400</v>
      </c>
      <c r="L25" s="106">
        <f>L16+(L28-L16)*9/12</f>
        <v>1.0091000000000001</v>
      </c>
      <c r="M25" s="114">
        <f t="shared" si="1"/>
        <v>350561.34</v>
      </c>
      <c r="N25" s="112" t="s">
        <v>286</v>
      </c>
      <c r="O25" s="104">
        <f t="shared" si="5"/>
        <v>611400</v>
      </c>
      <c r="P25" s="106">
        <f>P16+(P28-P16)*9/12</f>
        <v>1.0253749999999999</v>
      </c>
      <c r="Q25" s="107">
        <f t="shared" si="2"/>
        <v>626914.27499999991</v>
      </c>
    </row>
    <row r="26" spans="2:17">
      <c r="B26" s="103" t="s">
        <v>51</v>
      </c>
      <c r="C26" s="104">
        <f t="shared" si="6"/>
        <v>30800</v>
      </c>
      <c r="D26" s="105">
        <f>D16+(D28-D16)*10/12</f>
        <v>0.96068333333333333</v>
      </c>
      <c r="E26" s="110">
        <f t="shared" si="0"/>
        <v>29589.046666666665</v>
      </c>
      <c r="F26" s="112" t="s">
        <v>184</v>
      </c>
      <c r="G26" s="104">
        <f t="shared" si="7"/>
        <v>137800</v>
      </c>
      <c r="H26" s="109">
        <f>H16+(H28-H16)*10/12</f>
        <v>1.0003333333333333</v>
      </c>
      <c r="I26" s="113">
        <f t="shared" si="3"/>
        <v>137845.93333333332</v>
      </c>
      <c r="J26" s="111" t="s">
        <v>106</v>
      </c>
      <c r="K26" s="104">
        <f t="shared" si="4"/>
        <v>351800</v>
      </c>
      <c r="L26" s="106">
        <f>L16+(L28-L16)*10/12</f>
        <v>1.0093666666666667</v>
      </c>
      <c r="M26" s="114">
        <f t="shared" si="1"/>
        <v>355095.19333333336</v>
      </c>
      <c r="N26" s="112" t="s">
        <v>287</v>
      </c>
      <c r="O26" s="104">
        <f t="shared" si="5"/>
        <v>615800</v>
      </c>
      <c r="P26" s="106">
        <f>P16+(P28-P16)*10/12</f>
        <v>1.02565</v>
      </c>
      <c r="Q26" s="107">
        <f t="shared" si="2"/>
        <v>631595.27</v>
      </c>
    </row>
    <row r="27" spans="2:17">
      <c r="B27" s="103" t="s">
        <v>108</v>
      </c>
      <c r="C27" s="104">
        <f t="shared" si="6"/>
        <v>32200</v>
      </c>
      <c r="D27" s="105">
        <f>D16+(D28-D16)*11/12</f>
        <v>0.96324166666666666</v>
      </c>
      <c r="E27" s="110">
        <f t="shared" si="0"/>
        <v>31016.381666666668</v>
      </c>
      <c r="F27" s="112" t="s">
        <v>185</v>
      </c>
      <c r="G27" s="104">
        <f t="shared" si="7"/>
        <v>140200</v>
      </c>
      <c r="H27" s="109">
        <f>H16+(H28-H16)*11/12</f>
        <v>1.0003666666666666</v>
      </c>
      <c r="I27" s="113">
        <f t="shared" si="3"/>
        <v>140251.40666666665</v>
      </c>
      <c r="J27" s="111" t="s">
        <v>233</v>
      </c>
      <c r="K27" s="104">
        <f t="shared" si="4"/>
        <v>356200</v>
      </c>
      <c r="L27" s="106">
        <f>L16+(L28-L16)*11/12</f>
        <v>1.0096333333333334</v>
      </c>
      <c r="M27" s="114">
        <f t="shared" si="1"/>
        <v>359631.39333333337</v>
      </c>
      <c r="N27" s="112" t="s">
        <v>288</v>
      </c>
      <c r="O27" s="104">
        <f t="shared" si="5"/>
        <v>620200</v>
      </c>
      <c r="P27" s="106">
        <f>P16+(P28-P16)*11/12</f>
        <v>1.025925</v>
      </c>
      <c r="Q27" s="107">
        <f t="shared" si="2"/>
        <v>636278.68499999994</v>
      </c>
    </row>
    <row r="28" spans="2:17">
      <c r="B28" s="233" t="s">
        <v>69</v>
      </c>
      <c r="C28" s="234">
        <f t="shared" si="6"/>
        <v>33600</v>
      </c>
      <c r="D28" s="235">
        <v>0.96579999999999999</v>
      </c>
      <c r="E28" s="236">
        <f t="shared" si="0"/>
        <v>32450.880000000001</v>
      </c>
      <c r="F28" s="237" t="s">
        <v>64</v>
      </c>
      <c r="G28" s="234">
        <f t="shared" si="7"/>
        <v>142600</v>
      </c>
      <c r="H28" s="235">
        <v>1.0004</v>
      </c>
      <c r="I28" s="238">
        <f t="shared" si="3"/>
        <v>142657.04</v>
      </c>
      <c r="J28" s="239" t="s">
        <v>81</v>
      </c>
      <c r="K28" s="234">
        <f t="shared" si="4"/>
        <v>360600</v>
      </c>
      <c r="L28" s="240">
        <v>1.0099</v>
      </c>
      <c r="M28" s="241">
        <f t="shared" si="1"/>
        <v>364169.94</v>
      </c>
      <c r="N28" s="237" t="s">
        <v>289</v>
      </c>
      <c r="O28" s="234">
        <f t="shared" si="5"/>
        <v>624600</v>
      </c>
      <c r="P28" s="240">
        <v>1.0262</v>
      </c>
      <c r="Q28" s="242">
        <f t="shared" si="2"/>
        <v>640964.52</v>
      </c>
    </row>
    <row r="29" spans="2:17">
      <c r="B29" s="103" t="s">
        <v>143</v>
      </c>
      <c r="C29" s="104">
        <f t="shared" si="6"/>
        <v>35000</v>
      </c>
      <c r="D29" s="105">
        <f>D28+(D40-D28)*1/12</f>
        <v>0.9668416666666666</v>
      </c>
      <c r="E29" s="110">
        <f t="shared" si="0"/>
        <v>33839.458333333328</v>
      </c>
      <c r="F29" s="112" t="s">
        <v>186</v>
      </c>
      <c r="G29" s="104">
        <f t="shared" si="7"/>
        <v>145000</v>
      </c>
      <c r="H29" s="109">
        <f>H28+(H40-H28)*1/12</f>
        <v>1.0004166666666667</v>
      </c>
      <c r="I29" s="113">
        <f t="shared" si="3"/>
        <v>145060.41666666669</v>
      </c>
      <c r="J29" s="111" t="s">
        <v>234</v>
      </c>
      <c r="K29" s="104">
        <f t="shared" si="4"/>
        <v>365000</v>
      </c>
      <c r="L29" s="106">
        <f>L28+(L40-L28)*1/12</f>
        <v>1.0101666666666667</v>
      </c>
      <c r="M29" s="114">
        <f t="shared" si="1"/>
        <v>368710.83333333331</v>
      </c>
      <c r="N29" s="112" t="s">
        <v>290</v>
      </c>
      <c r="O29" s="104">
        <f t="shared" si="5"/>
        <v>629000</v>
      </c>
      <c r="P29" s="106">
        <f>P28+(P40-P28)*1/12</f>
        <v>1.026475</v>
      </c>
      <c r="Q29" s="107">
        <f t="shared" si="2"/>
        <v>645652.77500000002</v>
      </c>
    </row>
    <row r="30" spans="2:17">
      <c r="B30" s="103" t="s">
        <v>144</v>
      </c>
      <c r="C30" s="104">
        <f t="shared" si="6"/>
        <v>36400</v>
      </c>
      <c r="D30" s="105">
        <f>D28+(D40-D28)*2/12</f>
        <v>0.96788333333333332</v>
      </c>
      <c r="E30" s="110">
        <f t="shared" si="0"/>
        <v>35230.953333333331</v>
      </c>
      <c r="F30" s="112" t="s">
        <v>187</v>
      </c>
      <c r="G30" s="104">
        <f t="shared" si="7"/>
        <v>147400</v>
      </c>
      <c r="H30" s="109">
        <f>H28+(H40-H28)*2/12</f>
        <v>1.0004333333333333</v>
      </c>
      <c r="I30" s="113">
        <f t="shared" si="3"/>
        <v>147463.87333333332</v>
      </c>
      <c r="J30" s="111" t="s">
        <v>235</v>
      </c>
      <c r="K30" s="104">
        <f t="shared" si="4"/>
        <v>369400</v>
      </c>
      <c r="L30" s="106">
        <f>L28+(L40-L28)*2/12</f>
        <v>1.0104333333333333</v>
      </c>
      <c r="M30" s="114">
        <f t="shared" si="1"/>
        <v>373254.0733333333</v>
      </c>
      <c r="N30" s="112" t="s">
        <v>291</v>
      </c>
      <c r="O30" s="104">
        <f t="shared" si="5"/>
        <v>633400</v>
      </c>
      <c r="P30" s="106">
        <f>P28+(P40-P28)*2/12</f>
        <v>1.0267500000000001</v>
      </c>
      <c r="Q30" s="107">
        <f t="shared" si="2"/>
        <v>650343.45000000007</v>
      </c>
    </row>
    <row r="31" spans="2:17">
      <c r="B31" s="103" t="s">
        <v>145</v>
      </c>
      <c r="C31" s="104">
        <f t="shared" si="6"/>
        <v>37800</v>
      </c>
      <c r="D31" s="105">
        <f>D28+(D40-D28)*3/12</f>
        <v>0.96892500000000004</v>
      </c>
      <c r="E31" s="110">
        <f t="shared" si="0"/>
        <v>36625.364999999998</v>
      </c>
      <c r="F31" s="112" t="s">
        <v>188</v>
      </c>
      <c r="G31" s="104">
        <f t="shared" si="7"/>
        <v>149800</v>
      </c>
      <c r="H31" s="109">
        <f>H28+(H40-H28)*3/12</f>
        <v>1.0004499999999998</v>
      </c>
      <c r="I31" s="113">
        <f t="shared" si="3"/>
        <v>149867.40999999997</v>
      </c>
      <c r="J31" s="111" t="s">
        <v>236</v>
      </c>
      <c r="K31" s="104">
        <f t="shared" si="4"/>
        <v>373800</v>
      </c>
      <c r="L31" s="106">
        <f>L28+(L40-L28)*3/12</f>
        <v>1.0106999999999999</v>
      </c>
      <c r="M31" s="114">
        <f t="shared" si="1"/>
        <v>377799.66</v>
      </c>
      <c r="N31" s="112" t="s">
        <v>292</v>
      </c>
      <c r="O31" s="104">
        <f t="shared" si="5"/>
        <v>637800</v>
      </c>
      <c r="P31" s="106">
        <f>P28+(P40-P28)*3/12</f>
        <v>1.0270250000000001</v>
      </c>
      <c r="Q31" s="107">
        <f t="shared" si="2"/>
        <v>655036.54500000004</v>
      </c>
    </row>
    <row r="32" spans="2:17">
      <c r="B32" s="103" t="s">
        <v>18</v>
      </c>
      <c r="C32" s="104">
        <f t="shared" si="6"/>
        <v>39200</v>
      </c>
      <c r="D32" s="105">
        <f>D28+(D40-D28)*4/12</f>
        <v>0.96996666666666664</v>
      </c>
      <c r="E32" s="110">
        <f t="shared" si="0"/>
        <v>38022.693333333329</v>
      </c>
      <c r="F32" s="112" t="s">
        <v>189</v>
      </c>
      <c r="G32" s="104">
        <f t="shared" si="7"/>
        <v>152200</v>
      </c>
      <c r="H32" s="109">
        <f>H28+(H40-H28)*4/12</f>
        <v>1.0004666666666666</v>
      </c>
      <c r="I32" s="113">
        <f t="shared" si="3"/>
        <v>152271.02666666667</v>
      </c>
      <c r="J32" s="111" t="s">
        <v>237</v>
      </c>
      <c r="K32" s="104">
        <f t="shared" si="4"/>
        <v>378200</v>
      </c>
      <c r="L32" s="106">
        <f>L28+(L40-L28)*4/12</f>
        <v>1.0109666666666666</v>
      </c>
      <c r="M32" s="114">
        <f t="shared" si="1"/>
        <v>382347.59333333332</v>
      </c>
      <c r="N32" s="112" t="s">
        <v>293</v>
      </c>
      <c r="O32" s="104">
        <f t="shared" si="5"/>
        <v>642200</v>
      </c>
      <c r="P32" s="106">
        <f>P28+(P40-P28)*4/12</f>
        <v>1.0273000000000001</v>
      </c>
      <c r="Q32" s="107">
        <f t="shared" si="2"/>
        <v>659732.06000000006</v>
      </c>
    </row>
    <row r="33" spans="2:17">
      <c r="B33" s="103" t="s">
        <v>123</v>
      </c>
      <c r="C33" s="104">
        <f t="shared" si="6"/>
        <v>40600</v>
      </c>
      <c r="D33" s="105">
        <f>D28+(D40-D28)*5/12</f>
        <v>0.97100833333333325</v>
      </c>
      <c r="E33" s="110">
        <f t="shared" si="0"/>
        <v>39422.938333333332</v>
      </c>
      <c r="F33" s="112" t="s">
        <v>190</v>
      </c>
      <c r="G33" s="104">
        <f t="shared" si="7"/>
        <v>154600</v>
      </c>
      <c r="H33" s="109">
        <f>H28+(H40-H28)*5/12</f>
        <v>1.0004833333333334</v>
      </c>
      <c r="I33" s="113">
        <f t="shared" si="3"/>
        <v>154674.72333333333</v>
      </c>
      <c r="J33" s="111" t="s">
        <v>238</v>
      </c>
      <c r="K33" s="104">
        <f t="shared" si="4"/>
        <v>382600</v>
      </c>
      <c r="L33" s="106">
        <f>L28+(L40-L28)*5/12</f>
        <v>1.0112333333333332</v>
      </c>
      <c r="M33" s="114">
        <f t="shared" si="1"/>
        <v>386897.87333333329</v>
      </c>
      <c r="N33" s="112" t="s">
        <v>294</v>
      </c>
      <c r="O33" s="104">
        <f t="shared" si="5"/>
        <v>646600</v>
      </c>
      <c r="P33" s="106">
        <f>P28+(P40-P28)*5/12</f>
        <v>1.0275750000000001</v>
      </c>
      <c r="Q33" s="107">
        <f t="shared" si="2"/>
        <v>664429.99500000011</v>
      </c>
    </row>
    <row r="34" spans="2:17">
      <c r="B34" s="103" t="s">
        <v>146</v>
      </c>
      <c r="C34" s="104">
        <f t="shared" si="6"/>
        <v>42000</v>
      </c>
      <c r="D34" s="105">
        <f>D28+(D40-D28)*6/12</f>
        <v>0.97204999999999997</v>
      </c>
      <c r="E34" s="110">
        <f t="shared" si="0"/>
        <v>40826.1</v>
      </c>
      <c r="F34" s="112" t="s">
        <v>191</v>
      </c>
      <c r="G34" s="104">
        <f t="shared" si="7"/>
        <v>157000</v>
      </c>
      <c r="H34" s="109">
        <f>H28+(H40-H28)*6/12</f>
        <v>1.0004999999999999</v>
      </c>
      <c r="I34" s="113">
        <f t="shared" si="3"/>
        <v>157078.5</v>
      </c>
      <c r="J34" s="111" t="s">
        <v>239</v>
      </c>
      <c r="K34" s="104">
        <f t="shared" si="4"/>
        <v>387000</v>
      </c>
      <c r="L34" s="106">
        <f>L28+(L40-L28)*6/12</f>
        <v>1.0114999999999998</v>
      </c>
      <c r="M34" s="114">
        <f t="shared" si="1"/>
        <v>391450.49999999994</v>
      </c>
      <c r="N34" s="112" t="s">
        <v>295</v>
      </c>
      <c r="O34" s="104">
        <f t="shared" si="5"/>
        <v>651000</v>
      </c>
      <c r="P34" s="106">
        <f>P28+(P40-P28)*6/12</f>
        <v>1.0278499999999999</v>
      </c>
      <c r="Q34" s="107">
        <f t="shared" si="2"/>
        <v>669130.35</v>
      </c>
    </row>
    <row r="35" spans="2:17">
      <c r="B35" s="103" t="s">
        <v>19</v>
      </c>
      <c r="C35" s="104">
        <f t="shared" si="6"/>
        <v>43400</v>
      </c>
      <c r="D35" s="105">
        <f>D28+(D40-D28)*7/12</f>
        <v>0.97309166666666669</v>
      </c>
      <c r="E35" s="110">
        <f t="shared" si="0"/>
        <v>42232.178333333337</v>
      </c>
      <c r="F35" s="112" t="s">
        <v>192</v>
      </c>
      <c r="G35" s="104">
        <f t="shared" si="7"/>
        <v>159400</v>
      </c>
      <c r="H35" s="109">
        <f>H28+(H40-H28)*7/12</f>
        <v>1.0005166666666665</v>
      </c>
      <c r="I35" s="113">
        <f t="shared" si="3"/>
        <v>159482.35666666663</v>
      </c>
      <c r="J35" s="111" t="s">
        <v>240</v>
      </c>
      <c r="K35" s="104">
        <f t="shared" si="4"/>
        <v>391400</v>
      </c>
      <c r="L35" s="106">
        <f>L28+(L40-L28)*7/12</f>
        <v>1.0117666666666667</v>
      </c>
      <c r="M35" s="114">
        <f t="shared" si="1"/>
        <v>396005.47333333333</v>
      </c>
      <c r="N35" s="112" t="s">
        <v>296</v>
      </c>
      <c r="O35" s="104">
        <f t="shared" si="5"/>
        <v>655400</v>
      </c>
      <c r="P35" s="106">
        <f>P28+(P40-P28)*7/12</f>
        <v>1.028125</v>
      </c>
      <c r="Q35" s="107">
        <f t="shared" si="2"/>
        <v>673833.125</v>
      </c>
    </row>
    <row r="36" spans="2:17">
      <c r="B36" s="103" t="s">
        <v>46</v>
      </c>
      <c r="C36" s="104">
        <f t="shared" si="6"/>
        <v>44800</v>
      </c>
      <c r="D36" s="105">
        <f>D28+(D40-D28)*8/12</f>
        <v>0.9741333333333333</v>
      </c>
      <c r="E36" s="110">
        <f t="shared" si="0"/>
        <v>43641.173333333332</v>
      </c>
      <c r="F36" s="112" t="s">
        <v>193</v>
      </c>
      <c r="G36" s="104">
        <f t="shared" si="7"/>
        <v>161800</v>
      </c>
      <c r="H36" s="109">
        <f>H28+(H40-H28)*8/12</f>
        <v>1.0005333333333333</v>
      </c>
      <c r="I36" s="113">
        <f t="shared" si="3"/>
        <v>161886.29333333333</v>
      </c>
      <c r="J36" s="111" t="s">
        <v>92</v>
      </c>
      <c r="K36" s="104">
        <f t="shared" si="4"/>
        <v>395800</v>
      </c>
      <c r="L36" s="106">
        <f>L28+(L40-L28)*8/12</f>
        <v>1.0120333333333333</v>
      </c>
      <c r="M36" s="114">
        <f t="shared" si="1"/>
        <v>400562.79333333333</v>
      </c>
      <c r="N36" s="112" t="s">
        <v>297</v>
      </c>
      <c r="O36" s="104">
        <f t="shared" si="5"/>
        <v>659800</v>
      </c>
      <c r="P36" s="106">
        <f>P28+(P40-P28)*8/12</f>
        <v>1.0284</v>
      </c>
      <c r="Q36" s="107">
        <f t="shared" si="2"/>
        <v>678538.32</v>
      </c>
    </row>
    <row r="37" spans="2:17">
      <c r="B37" s="103" t="s">
        <v>45</v>
      </c>
      <c r="C37" s="104">
        <f t="shared" si="6"/>
        <v>46200</v>
      </c>
      <c r="D37" s="105">
        <f>D28+(D40-D28)*9/12</f>
        <v>0.9751749999999999</v>
      </c>
      <c r="E37" s="110">
        <f t="shared" si="0"/>
        <v>45053.084999999999</v>
      </c>
      <c r="F37" s="112" t="s">
        <v>194</v>
      </c>
      <c r="G37" s="104">
        <f t="shared" si="7"/>
        <v>164200</v>
      </c>
      <c r="H37" s="109">
        <f>H28+(H40-H28)*9/12</f>
        <v>1.0005500000000001</v>
      </c>
      <c r="I37" s="113">
        <f t="shared" si="3"/>
        <v>164290.31</v>
      </c>
      <c r="J37" s="111" t="s">
        <v>241</v>
      </c>
      <c r="K37" s="104">
        <f t="shared" si="4"/>
        <v>400200</v>
      </c>
      <c r="L37" s="106">
        <f>L28+(L40-L28)*9/12</f>
        <v>1.0123</v>
      </c>
      <c r="M37" s="114">
        <f t="shared" si="1"/>
        <v>405122.45999999996</v>
      </c>
      <c r="N37" s="112" t="s">
        <v>298</v>
      </c>
      <c r="O37" s="104">
        <f t="shared" si="5"/>
        <v>664200</v>
      </c>
      <c r="P37" s="106">
        <f>P28+(P40-P28)*9/12</f>
        <v>1.028675</v>
      </c>
      <c r="Q37" s="107">
        <f t="shared" si="2"/>
        <v>683245.93500000006</v>
      </c>
    </row>
    <row r="38" spans="2:17">
      <c r="B38" s="103" t="s">
        <v>24</v>
      </c>
      <c r="C38" s="104">
        <f t="shared" si="6"/>
        <v>47600</v>
      </c>
      <c r="D38" s="105">
        <f>D28+(D40-D28)*10/12</f>
        <v>0.97621666666666662</v>
      </c>
      <c r="E38" s="110">
        <f t="shared" si="0"/>
        <v>46467.91333333333</v>
      </c>
      <c r="F38" s="112" t="s">
        <v>195</v>
      </c>
      <c r="G38" s="104">
        <f t="shared" si="7"/>
        <v>166600</v>
      </c>
      <c r="H38" s="109">
        <f>H28+(H40-H28)*10/12</f>
        <v>1.0005666666666666</v>
      </c>
      <c r="I38" s="113">
        <f t="shared" si="3"/>
        <v>166694.40666666665</v>
      </c>
      <c r="J38" s="111" t="s">
        <v>242</v>
      </c>
      <c r="K38" s="104">
        <f t="shared" si="4"/>
        <v>404600</v>
      </c>
      <c r="L38" s="106">
        <f>L28+(L40-L28)*10/12</f>
        <v>1.0125666666666666</v>
      </c>
      <c r="M38" s="114">
        <f t="shared" si="1"/>
        <v>409684.47333333333</v>
      </c>
      <c r="N38" s="112" t="s">
        <v>299</v>
      </c>
      <c r="O38" s="104">
        <f t="shared" si="5"/>
        <v>668600</v>
      </c>
      <c r="P38" s="106">
        <f>P28+(P40-P28)*10/12</f>
        <v>1.02895</v>
      </c>
      <c r="Q38" s="107">
        <f t="shared" si="2"/>
        <v>687955.97</v>
      </c>
    </row>
    <row r="39" spans="2:17">
      <c r="B39" s="103" t="s">
        <v>122</v>
      </c>
      <c r="C39" s="104">
        <f t="shared" si="6"/>
        <v>49000</v>
      </c>
      <c r="D39" s="105">
        <f>D28+(D40-D28)*11/12</f>
        <v>0.97725833333333334</v>
      </c>
      <c r="E39" s="110">
        <f t="shared" si="0"/>
        <v>47885.658333333333</v>
      </c>
      <c r="F39" s="112" t="s">
        <v>73</v>
      </c>
      <c r="G39" s="104">
        <f t="shared" si="7"/>
        <v>169000</v>
      </c>
      <c r="H39" s="109">
        <f>H28+(H40-H28)*11/12</f>
        <v>1.0005833333333332</v>
      </c>
      <c r="I39" s="113">
        <f t="shared" si="3"/>
        <v>169098.58333333331</v>
      </c>
      <c r="J39" s="111" t="s">
        <v>243</v>
      </c>
      <c r="K39" s="104">
        <f t="shared" si="4"/>
        <v>409000</v>
      </c>
      <c r="L39" s="106">
        <f>L28+(L40-L28)*11/12</f>
        <v>1.0128333333333333</v>
      </c>
      <c r="M39" s="114">
        <f t="shared" si="1"/>
        <v>414248.83333333331</v>
      </c>
      <c r="N39" s="112" t="s">
        <v>300</v>
      </c>
      <c r="O39" s="104">
        <f t="shared" si="5"/>
        <v>673000</v>
      </c>
      <c r="P39" s="106">
        <f>P28+(P40-P28)*11/12</f>
        <v>1.0292250000000001</v>
      </c>
      <c r="Q39" s="107">
        <f t="shared" si="2"/>
        <v>692668.42500000005</v>
      </c>
    </row>
    <row r="40" spans="2:17">
      <c r="B40" s="233" t="s">
        <v>62</v>
      </c>
      <c r="C40" s="234">
        <f t="shared" si="6"/>
        <v>50400</v>
      </c>
      <c r="D40" s="235">
        <v>0.97829999999999995</v>
      </c>
      <c r="E40" s="236">
        <f t="shared" si="0"/>
        <v>49306.32</v>
      </c>
      <c r="F40" s="237" t="s">
        <v>74</v>
      </c>
      <c r="G40" s="234">
        <f>G39+3400</f>
        <v>172400</v>
      </c>
      <c r="H40" s="235">
        <v>1.0005999999999999</v>
      </c>
      <c r="I40" s="238">
        <f t="shared" si="3"/>
        <v>172503.44</v>
      </c>
      <c r="J40" s="239" t="s">
        <v>82</v>
      </c>
      <c r="K40" s="234">
        <f t="shared" si="4"/>
        <v>413400</v>
      </c>
      <c r="L40" s="240">
        <v>1.0130999999999999</v>
      </c>
      <c r="M40" s="241">
        <f t="shared" si="1"/>
        <v>418815.54</v>
      </c>
      <c r="N40" s="237" t="s">
        <v>301</v>
      </c>
      <c r="O40" s="234">
        <f t="shared" si="5"/>
        <v>677400</v>
      </c>
      <c r="P40" s="240">
        <v>1.0295000000000001</v>
      </c>
      <c r="Q40" s="242">
        <f t="shared" si="2"/>
        <v>697383.3</v>
      </c>
    </row>
    <row r="41" spans="2:17">
      <c r="B41" s="103" t="s">
        <v>147</v>
      </c>
      <c r="C41" s="104">
        <f t="shared" si="6"/>
        <v>51800</v>
      </c>
      <c r="D41" s="105">
        <f>D40+(D52-D40)*1/12</f>
        <v>0.97880833333333328</v>
      </c>
      <c r="E41" s="110">
        <f t="shared" si="0"/>
        <v>50702.271666666667</v>
      </c>
      <c r="F41" s="112" t="s">
        <v>196</v>
      </c>
      <c r="G41" s="104">
        <f>G40+3400</f>
        <v>175800</v>
      </c>
      <c r="H41" s="109">
        <f>H40+(H52-H40)*1/12</f>
        <v>1.0006166666666667</v>
      </c>
      <c r="I41" s="113">
        <f t="shared" si="3"/>
        <v>175908.41</v>
      </c>
      <c r="J41" s="111" t="s">
        <v>244</v>
      </c>
      <c r="K41" s="104">
        <f t="shared" si="4"/>
        <v>417800</v>
      </c>
      <c r="L41" s="106">
        <f>L40+(L52-L40)*1/12</f>
        <v>1.0133749999999999</v>
      </c>
      <c r="M41" s="114">
        <f t="shared" si="1"/>
        <v>423388.07499999995</v>
      </c>
      <c r="N41" s="112" t="s">
        <v>302</v>
      </c>
      <c r="O41" s="104">
        <f t="shared" si="5"/>
        <v>681800</v>
      </c>
      <c r="P41" s="106">
        <f>P40+(P52-P40)*1/12</f>
        <v>1.0297833333333335</v>
      </c>
      <c r="Q41" s="107">
        <f t="shared" si="2"/>
        <v>702106.27666666673</v>
      </c>
    </row>
    <row r="42" spans="2:17">
      <c r="B42" s="103" t="s">
        <v>148</v>
      </c>
      <c r="C42" s="104">
        <f t="shared" si="6"/>
        <v>53200</v>
      </c>
      <c r="D42" s="105">
        <f>D40+(D52-D40)*2/12</f>
        <v>0.97931666666666661</v>
      </c>
      <c r="E42" s="110">
        <f t="shared" si="0"/>
        <v>52099.646666666667</v>
      </c>
      <c r="F42" s="112" t="s">
        <v>197</v>
      </c>
      <c r="G42" s="104">
        <f t="shared" ref="G42:G63" si="8">G41+3400</f>
        <v>179200</v>
      </c>
      <c r="H42" s="109">
        <f>H40+(H52-H40)*2/12</f>
        <v>1.0006333333333333</v>
      </c>
      <c r="I42" s="113">
        <f t="shared" si="3"/>
        <v>179313.49333333332</v>
      </c>
      <c r="J42" s="111" t="s">
        <v>245</v>
      </c>
      <c r="K42" s="104">
        <f t="shared" si="4"/>
        <v>422200</v>
      </c>
      <c r="L42" s="106">
        <f>L40+(L52-L40)*2/12</f>
        <v>1.0136499999999999</v>
      </c>
      <c r="M42" s="114">
        <f t="shared" si="1"/>
        <v>427963.02999999997</v>
      </c>
      <c r="N42" s="112" t="s">
        <v>303</v>
      </c>
      <c r="O42" s="104">
        <f t="shared" si="5"/>
        <v>686200</v>
      </c>
      <c r="P42" s="106">
        <f>P40+(P52-P40)*2/12</f>
        <v>1.0300666666666667</v>
      </c>
      <c r="Q42" s="107">
        <f t="shared" si="2"/>
        <v>706831.7466666667</v>
      </c>
    </row>
    <row r="43" spans="2:17">
      <c r="B43" s="103" t="s">
        <v>149</v>
      </c>
      <c r="C43" s="104">
        <f t="shared" si="6"/>
        <v>54600</v>
      </c>
      <c r="D43" s="105">
        <f>D40+(D52-D40)*3/12</f>
        <v>0.97982499999999995</v>
      </c>
      <c r="E43" s="110">
        <f t="shared" si="0"/>
        <v>53498.445</v>
      </c>
      <c r="F43" s="112" t="s">
        <v>198</v>
      </c>
      <c r="G43" s="104">
        <f t="shared" si="8"/>
        <v>182600</v>
      </c>
      <c r="H43" s="109">
        <f>H40+(H52-H40)*3/12</f>
        <v>1.0006499999999998</v>
      </c>
      <c r="I43" s="113">
        <f t="shared" si="3"/>
        <v>182718.68999999997</v>
      </c>
      <c r="J43" s="111" t="s">
        <v>246</v>
      </c>
      <c r="K43" s="104">
        <f t="shared" si="4"/>
        <v>426600</v>
      </c>
      <c r="L43" s="106">
        <f>L40+(L52-L40)*3/12</f>
        <v>1.013925</v>
      </c>
      <c r="M43" s="114">
        <f t="shared" si="1"/>
        <v>432540.40499999997</v>
      </c>
      <c r="N43" s="112" t="s">
        <v>304</v>
      </c>
      <c r="O43" s="104">
        <f t="shared" si="5"/>
        <v>690600</v>
      </c>
      <c r="P43" s="106">
        <f>P40+(P52-P40)*3/12</f>
        <v>1.0303500000000001</v>
      </c>
      <c r="Q43" s="107">
        <f t="shared" si="2"/>
        <v>711559.71000000008</v>
      </c>
    </row>
    <row r="44" spans="2:17">
      <c r="B44" s="103" t="s">
        <v>150</v>
      </c>
      <c r="C44" s="104">
        <f t="shared" si="6"/>
        <v>56000</v>
      </c>
      <c r="D44" s="105">
        <f>D40+(D52-D40)*4/12</f>
        <v>0.98033333333333328</v>
      </c>
      <c r="E44" s="110">
        <f t="shared" si="0"/>
        <v>54898.666666666664</v>
      </c>
      <c r="F44" s="112" t="s">
        <v>199</v>
      </c>
      <c r="G44" s="104">
        <f t="shared" si="8"/>
        <v>186000</v>
      </c>
      <c r="H44" s="109">
        <f>H40+(H52-H40)*4/12</f>
        <v>1.0006666666666666</v>
      </c>
      <c r="I44" s="113">
        <f t="shared" si="3"/>
        <v>186124</v>
      </c>
      <c r="J44" s="111" t="s">
        <v>247</v>
      </c>
      <c r="K44" s="104">
        <f t="shared" si="4"/>
        <v>431000</v>
      </c>
      <c r="L44" s="106">
        <f>L40+(L52-L40)*4/12</f>
        <v>1.0142</v>
      </c>
      <c r="M44" s="114">
        <f t="shared" si="1"/>
        <v>437120.2</v>
      </c>
      <c r="N44" s="112" t="s">
        <v>305</v>
      </c>
      <c r="O44" s="104">
        <f t="shared" si="5"/>
        <v>695000</v>
      </c>
      <c r="P44" s="106">
        <f>P40+(P52-P40)*4/12</f>
        <v>1.0306333333333333</v>
      </c>
      <c r="Q44" s="107">
        <f t="shared" si="2"/>
        <v>716290.16666666663</v>
      </c>
    </row>
    <row r="45" spans="2:17">
      <c r="B45" s="103" t="s">
        <v>151</v>
      </c>
      <c r="C45" s="104">
        <f t="shared" si="6"/>
        <v>57400</v>
      </c>
      <c r="D45" s="105">
        <f>D40+(D52-D40)*5/12</f>
        <v>0.98084166666666661</v>
      </c>
      <c r="E45" s="110">
        <f t="shared" si="0"/>
        <v>56300.311666666661</v>
      </c>
      <c r="F45" s="112" t="s">
        <v>200</v>
      </c>
      <c r="G45" s="104">
        <f t="shared" si="8"/>
        <v>189400</v>
      </c>
      <c r="H45" s="109">
        <f>H40+(H52-H40)*5/12</f>
        <v>1.0006833333333334</v>
      </c>
      <c r="I45" s="113">
        <f t="shared" si="3"/>
        <v>189529.42333333334</v>
      </c>
      <c r="J45" s="111" t="s">
        <v>248</v>
      </c>
      <c r="K45" s="104">
        <f t="shared" si="4"/>
        <v>435400</v>
      </c>
      <c r="L45" s="106">
        <f>L40+(L52-L40)*5/12</f>
        <v>1.014475</v>
      </c>
      <c r="M45" s="114">
        <f t="shared" si="1"/>
        <v>441702.41499999998</v>
      </c>
      <c r="N45" s="112" t="s">
        <v>306</v>
      </c>
      <c r="O45" s="104">
        <f t="shared" si="5"/>
        <v>699400</v>
      </c>
      <c r="P45" s="106">
        <f>P40+(P52-P40)*5/12</f>
        <v>1.0309166666666667</v>
      </c>
      <c r="Q45" s="107">
        <f t="shared" si="2"/>
        <v>721023.1166666667</v>
      </c>
    </row>
    <row r="46" spans="2:17">
      <c r="B46" s="103" t="s">
        <v>152</v>
      </c>
      <c r="C46" s="104">
        <f t="shared" si="6"/>
        <v>58800</v>
      </c>
      <c r="D46" s="105">
        <f>D40+(D52-D40)*6/12</f>
        <v>0.98134999999999994</v>
      </c>
      <c r="E46" s="110">
        <f t="shared" si="0"/>
        <v>57703.38</v>
      </c>
      <c r="F46" s="112" t="s">
        <v>201</v>
      </c>
      <c r="G46" s="104">
        <f t="shared" si="8"/>
        <v>192800</v>
      </c>
      <c r="H46" s="109">
        <f>H40+(H52-H40)*6/12</f>
        <v>1.0006999999999999</v>
      </c>
      <c r="I46" s="113">
        <f t="shared" si="3"/>
        <v>192934.96</v>
      </c>
      <c r="J46" s="111" t="s">
        <v>249</v>
      </c>
      <c r="K46" s="104">
        <f t="shared" si="4"/>
        <v>439800</v>
      </c>
      <c r="L46" s="106">
        <f>L40+(L52-L40)*6/12</f>
        <v>1.0147499999999998</v>
      </c>
      <c r="M46" s="114">
        <f t="shared" si="1"/>
        <v>446287.04999999993</v>
      </c>
      <c r="N46" s="112" t="s">
        <v>307</v>
      </c>
      <c r="O46" s="104">
        <f t="shared" si="5"/>
        <v>703800</v>
      </c>
      <c r="P46" s="106">
        <f>P40+(P52-P40)*6/12</f>
        <v>1.0312000000000001</v>
      </c>
      <c r="Q46" s="107">
        <f t="shared" si="2"/>
        <v>725758.56</v>
      </c>
    </row>
    <row r="47" spans="2:17">
      <c r="B47" s="103" t="s">
        <v>153</v>
      </c>
      <c r="C47" s="104">
        <f t="shared" si="6"/>
        <v>60200</v>
      </c>
      <c r="D47" s="105">
        <f>D40+(D52-D40)*7/12</f>
        <v>0.98185833333333339</v>
      </c>
      <c r="E47" s="110">
        <f t="shared" si="0"/>
        <v>59107.871666666673</v>
      </c>
      <c r="F47" s="112" t="s">
        <v>202</v>
      </c>
      <c r="G47" s="104">
        <f t="shared" si="8"/>
        <v>196200</v>
      </c>
      <c r="H47" s="109">
        <f>H40+(H52-H40)*7/12</f>
        <v>1.0007166666666665</v>
      </c>
      <c r="I47" s="113">
        <f t="shared" si="3"/>
        <v>196340.60999999996</v>
      </c>
      <c r="J47" s="111" t="s">
        <v>250</v>
      </c>
      <c r="K47" s="104">
        <f t="shared" si="4"/>
        <v>444200</v>
      </c>
      <c r="L47" s="106">
        <f>L40+(L52-L40)*7/12</f>
        <v>1.0150249999999998</v>
      </c>
      <c r="M47" s="114">
        <f t="shared" si="1"/>
        <v>450874.10499999992</v>
      </c>
      <c r="N47" s="112" t="s">
        <v>308</v>
      </c>
      <c r="O47" s="104">
        <f t="shared" si="5"/>
        <v>708200</v>
      </c>
      <c r="P47" s="106">
        <f>P40+(P52-P40)*7/12</f>
        <v>1.0314833333333333</v>
      </c>
      <c r="Q47" s="107">
        <f t="shared" si="2"/>
        <v>730496.4966666667</v>
      </c>
    </row>
    <row r="48" spans="2:17">
      <c r="B48" s="103" t="s">
        <v>154</v>
      </c>
      <c r="C48" s="104">
        <f t="shared" si="6"/>
        <v>61600</v>
      </c>
      <c r="D48" s="105">
        <f>D40+(D52-D40)*8/12</f>
        <v>0.98236666666666672</v>
      </c>
      <c r="E48" s="110">
        <f t="shared" si="0"/>
        <v>60513.786666666667</v>
      </c>
      <c r="F48" s="112" t="s">
        <v>203</v>
      </c>
      <c r="G48" s="104">
        <f t="shared" si="8"/>
        <v>199600</v>
      </c>
      <c r="H48" s="109">
        <f>H40+(H52-H40)*8/12</f>
        <v>1.0007333333333333</v>
      </c>
      <c r="I48" s="113">
        <f t="shared" si="3"/>
        <v>199746.37333333332</v>
      </c>
      <c r="J48" s="111" t="s">
        <v>251</v>
      </c>
      <c r="K48" s="104">
        <f t="shared" si="4"/>
        <v>448600</v>
      </c>
      <c r="L48" s="106">
        <f>L40+(L52-L40)*8/12</f>
        <v>1.0152999999999999</v>
      </c>
      <c r="M48" s="114">
        <f t="shared" si="1"/>
        <v>455463.57999999996</v>
      </c>
      <c r="N48" s="112" t="s">
        <v>309</v>
      </c>
      <c r="O48" s="104">
        <f t="shared" si="5"/>
        <v>712600</v>
      </c>
      <c r="P48" s="106">
        <f>P40+(P52-P40)*8/12</f>
        <v>1.0317666666666667</v>
      </c>
      <c r="Q48" s="107">
        <f t="shared" si="2"/>
        <v>735236.92666666675</v>
      </c>
    </row>
    <row r="49" spans="2:17">
      <c r="B49" s="103" t="s">
        <v>103</v>
      </c>
      <c r="C49" s="104">
        <f t="shared" si="6"/>
        <v>63000</v>
      </c>
      <c r="D49" s="105">
        <f>D40+(D52-D40)*9/12</f>
        <v>0.98287500000000005</v>
      </c>
      <c r="E49" s="110">
        <f t="shared" si="0"/>
        <v>61921.125</v>
      </c>
      <c r="F49" s="112" t="s">
        <v>204</v>
      </c>
      <c r="G49" s="104">
        <f t="shared" si="8"/>
        <v>203000</v>
      </c>
      <c r="H49" s="109">
        <f>H40+(H52-H40)*9/12</f>
        <v>1.00075</v>
      </c>
      <c r="I49" s="113">
        <f t="shared" si="3"/>
        <v>203152.25</v>
      </c>
      <c r="J49" s="111" t="s">
        <v>252</v>
      </c>
      <c r="K49" s="104">
        <f t="shared" si="4"/>
        <v>453000</v>
      </c>
      <c r="L49" s="106">
        <f>L40+(L52-L40)*9/12</f>
        <v>1.0155749999999999</v>
      </c>
      <c r="M49" s="114">
        <f t="shared" si="1"/>
        <v>460055.47499999998</v>
      </c>
      <c r="N49" s="112" t="s">
        <v>310</v>
      </c>
      <c r="O49" s="104">
        <f t="shared" si="5"/>
        <v>717000</v>
      </c>
      <c r="P49" s="106">
        <f>P40+(P52-P40)*9/12</f>
        <v>1.0320499999999999</v>
      </c>
      <c r="Q49" s="107">
        <f t="shared" si="2"/>
        <v>739979.85</v>
      </c>
    </row>
    <row r="50" spans="2:17">
      <c r="B50" s="103" t="s">
        <v>65</v>
      </c>
      <c r="C50" s="104">
        <f t="shared" si="6"/>
        <v>64400</v>
      </c>
      <c r="D50" s="105">
        <f>D40+(D52-D40)*10/12</f>
        <v>0.98338333333333339</v>
      </c>
      <c r="E50" s="110">
        <f t="shared" si="0"/>
        <v>63329.886666666673</v>
      </c>
      <c r="F50" s="112" t="s">
        <v>50</v>
      </c>
      <c r="G50" s="104">
        <f t="shared" si="8"/>
        <v>206400</v>
      </c>
      <c r="H50" s="109">
        <f>H40+(H52-H40)*10/12</f>
        <v>1.0007666666666666</v>
      </c>
      <c r="I50" s="113">
        <f t="shared" si="3"/>
        <v>206558.24</v>
      </c>
      <c r="J50" s="111" t="s">
        <v>253</v>
      </c>
      <c r="K50" s="104">
        <f t="shared" si="4"/>
        <v>457400</v>
      </c>
      <c r="L50" s="106">
        <f>L40+(L52-L40)*10/12</f>
        <v>1.0158499999999999</v>
      </c>
      <c r="M50" s="114">
        <f t="shared" si="1"/>
        <v>464649.79</v>
      </c>
      <c r="N50" s="112" t="s">
        <v>311</v>
      </c>
      <c r="O50" s="104">
        <f t="shared" si="5"/>
        <v>721400</v>
      </c>
      <c r="P50" s="106">
        <f>P40+(P52-P40)*10/12</f>
        <v>1.0323333333333333</v>
      </c>
      <c r="Q50" s="107">
        <f t="shared" si="2"/>
        <v>744725.2666666666</v>
      </c>
    </row>
    <row r="51" spans="2:17">
      <c r="B51" s="103" t="s">
        <v>155</v>
      </c>
      <c r="C51" s="104">
        <f t="shared" si="6"/>
        <v>65800</v>
      </c>
      <c r="D51" s="105">
        <f>D40+(D52-D40)*11/12</f>
        <v>0.98389166666666672</v>
      </c>
      <c r="E51" s="110">
        <f t="shared" si="0"/>
        <v>64740.07166666667</v>
      </c>
      <c r="F51" s="112" t="s">
        <v>205</v>
      </c>
      <c r="G51" s="104">
        <f t="shared" si="8"/>
        <v>209800</v>
      </c>
      <c r="H51" s="109">
        <f>H40+(H52-H40)*11/12</f>
        <v>1.0007833333333331</v>
      </c>
      <c r="I51" s="113">
        <f t="shared" si="3"/>
        <v>209964.34333333329</v>
      </c>
      <c r="J51" s="111" t="s">
        <v>254</v>
      </c>
      <c r="K51" s="104">
        <f t="shared" si="4"/>
        <v>461800</v>
      </c>
      <c r="L51" s="106">
        <f>L40+(L52-L40)*11/12</f>
        <v>1.0161249999999999</v>
      </c>
      <c r="M51" s="114">
        <f t="shared" si="1"/>
        <v>469246.52499999997</v>
      </c>
      <c r="N51" s="112" t="s">
        <v>312</v>
      </c>
      <c r="O51" s="104">
        <f t="shared" si="5"/>
        <v>725800</v>
      </c>
      <c r="P51" s="106">
        <f>P40+(P52-P40)*11/12</f>
        <v>1.0326166666666665</v>
      </c>
      <c r="Q51" s="107">
        <f t="shared" si="2"/>
        <v>749473.17666666652</v>
      </c>
    </row>
    <row r="52" spans="2:17">
      <c r="B52" s="233" t="s">
        <v>70</v>
      </c>
      <c r="C52" s="234">
        <f t="shared" si="6"/>
        <v>67200</v>
      </c>
      <c r="D52" s="235">
        <v>0.98440000000000005</v>
      </c>
      <c r="E52" s="236">
        <f t="shared" si="0"/>
        <v>66151.680000000008</v>
      </c>
      <c r="F52" s="237" t="s">
        <v>75</v>
      </c>
      <c r="G52" s="234">
        <f t="shared" si="8"/>
        <v>213200</v>
      </c>
      <c r="H52" s="235">
        <v>1.0007999999999999</v>
      </c>
      <c r="I52" s="238">
        <f t="shared" si="3"/>
        <v>213370.55999999997</v>
      </c>
      <c r="J52" s="239" t="s">
        <v>83</v>
      </c>
      <c r="K52" s="234">
        <f t="shared" si="4"/>
        <v>466200</v>
      </c>
      <c r="L52" s="240">
        <v>1.0164</v>
      </c>
      <c r="M52" s="241">
        <f t="shared" si="1"/>
        <v>473845.68</v>
      </c>
      <c r="N52" s="237" t="s">
        <v>313</v>
      </c>
      <c r="O52" s="234">
        <f t="shared" si="5"/>
        <v>730200</v>
      </c>
      <c r="P52" s="240">
        <v>1.0328999999999999</v>
      </c>
      <c r="Q52" s="242">
        <f t="shared" si="2"/>
        <v>754223.58</v>
      </c>
    </row>
    <row r="53" spans="2:17">
      <c r="B53" s="103" t="s">
        <v>156</v>
      </c>
      <c r="C53" s="104">
        <f t="shared" si="6"/>
        <v>68600</v>
      </c>
      <c r="D53" s="105">
        <f>D52+(H4-D52)*1/12</f>
        <v>0.98465833333333341</v>
      </c>
      <c r="E53" s="110">
        <f t="shared" si="0"/>
        <v>67547.561666666676</v>
      </c>
      <c r="F53" s="112" t="s">
        <v>206</v>
      </c>
      <c r="G53" s="104">
        <f t="shared" si="8"/>
        <v>216600</v>
      </c>
      <c r="H53" s="105">
        <f>H52+(L4-H52)*1/12</f>
        <v>1.0010166666666667</v>
      </c>
      <c r="I53" s="113">
        <f t="shared" si="3"/>
        <v>216820.21</v>
      </c>
      <c r="J53" s="111" t="s">
        <v>255</v>
      </c>
      <c r="K53" s="104">
        <f t="shared" si="4"/>
        <v>470600</v>
      </c>
      <c r="L53" s="106">
        <f>L52+(P4-L52)*1/12</f>
        <v>1.0166666666666666</v>
      </c>
      <c r="M53" s="114">
        <f t="shared" si="1"/>
        <v>478443.33333333331</v>
      </c>
      <c r="N53" s="112" t="s">
        <v>314</v>
      </c>
      <c r="O53" s="104">
        <f t="shared" si="5"/>
        <v>734600</v>
      </c>
      <c r="P53" s="106">
        <f>P52+(P64-P52)*1/12</f>
        <v>1.033175</v>
      </c>
      <c r="Q53" s="107">
        <f t="shared" si="2"/>
        <v>758970.35499999998</v>
      </c>
    </row>
    <row r="54" spans="2:17">
      <c r="B54" s="103" t="s">
        <v>157</v>
      </c>
      <c r="C54" s="104">
        <f t="shared" si="6"/>
        <v>70000</v>
      </c>
      <c r="D54" s="105">
        <f>D52+(H4-D52)*2/12</f>
        <v>0.98491666666666666</v>
      </c>
      <c r="E54" s="110">
        <f t="shared" si="0"/>
        <v>68944.166666666672</v>
      </c>
      <c r="F54" s="112" t="s">
        <v>207</v>
      </c>
      <c r="G54" s="104">
        <f t="shared" si="8"/>
        <v>220000</v>
      </c>
      <c r="H54" s="105">
        <f>H52+(L4-H52)*2/12</f>
        <v>1.0012333333333332</v>
      </c>
      <c r="I54" s="113">
        <f t="shared" si="3"/>
        <v>220271.33333333331</v>
      </c>
      <c r="J54" s="111" t="s">
        <v>256</v>
      </c>
      <c r="K54" s="104">
        <f t="shared" si="4"/>
        <v>475000</v>
      </c>
      <c r="L54" s="106">
        <f>L52+(P4-L52)*2/12</f>
        <v>1.0169333333333332</v>
      </c>
      <c r="M54" s="114">
        <f t="shared" si="1"/>
        <v>483043.33333333331</v>
      </c>
      <c r="N54" s="112" t="s">
        <v>315</v>
      </c>
      <c r="O54" s="104">
        <f t="shared" si="5"/>
        <v>739000</v>
      </c>
      <c r="P54" s="106">
        <f>P52+(P64-P52)*2/12</f>
        <v>1.03345</v>
      </c>
      <c r="Q54" s="107">
        <f t="shared" si="2"/>
        <v>763719.54999999993</v>
      </c>
    </row>
    <row r="55" spans="2:17">
      <c r="B55" s="103" t="s">
        <v>158</v>
      </c>
      <c r="C55" s="104">
        <f t="shared" si="6"/>
        <v>71400</v>
      </c>
      <c r="D55" s="105">
        <f>D52+(H4-D52)*3/12</f>
        <v>0.98517500000000002</v>
      </c>
      <c r="E55" s="110">
        <f t="shared" si="0"/>
        <v>70341.494999999995</v>
      </c>
      <c r="F55" s="112" t="s">
        <v>208</v>
      </c>
      <c r="G55" s="104">
        <f t="shared" si="8"/>
        <v>223400</v>
      </c>
      <c r="H55" s="105">
        <f>H52+(L4-H52)*3/12</f>
        <v>1.00145</v>
      </c>
      <c r="I55" s="113">
        <f t="shared" si="3"/>
        <v>223723.93</v>
      </c>
      <c r="J55" s="111" t="s">
        <v>257</v>
      </c>
      <c r="K55" s="104">
        <f t="shared" si="4"/>
        <v>479400</v>
      </c>
      <c r="L55" s="106">
        <f>L52+(P4-L52)*3/12</f>
        <v>1.0171999999999999</v>
      </c>
      <c r="M55" s="114">
        <f t="shared" si="1"/>
        <v>487645.67999999993</v>
      </c>
      <c r="N55" s="112" t="s">
        <v>316</v>
      </c>
      <c r="O55" s="104">
        <f t="shared" si="5"/>
        <v>743400</v>
      </c>
      <c r="P55" s="106">
        <f>P52+(P64-P52)*3/12</f>
        <v>1.033725</v>
      </c>
      <c r="Q55" s="107">
        <f t="shared" si="2"/>
        <v>768471.16500000004</v>
      </c>
    </row>
    <row r="56" spans="2:17">
      <c r="B56" s="103" t="s">
        <v>159</v>
      </c>
      <c r="C56" s="104">
        <f t="shared" si="6"/>
        <v>72800</v>
      </c>
      <c r="D56" s="105">
        <f>D52+(H4-D52)*4/12</f>
        <v>0.98543333333333338</v>
      </c>
      <c r="E56" s="110">
        <f t="shared" si="0"/>
        <v>71739.546666666676</v>
      </c>
      <c r="F56" s="112" t="s">
        <v>209</v>
      </c>
      <c r="G56" s="104">
        <f t="shared" si="8"/>
        <v>226800</v>
      </c>
      <c r="H56" s="105">
        <f>H52+(L4-H52)*4/12</f>
        <v>1.0016666666666667</v>
      </c>
      <c r="I56" s="113">
        <f t="shared" si="3"/>
        <v>227178</v>
      </c>
      <c r="J56" s="111" t="s">
        <v>258</v>
      </c>
      <c r="K56" s="104">
        <f t="shared" si="4"/>
        <v>483800</v>
      </c>
      <c r="L56" s="106">
        <f>L52+(P4-L52)*4/12</f>
        <v>1.0174666666666667</v>
      </c>
      <c r="M56" s="114">
        <f t="shared" si="1"/>
        <v>492250.37333333335</v>
      </c>
      <c r="N56" s="112" t="s">
        <v>317</v>
      </c>
      <c r="O56" s="104">
        <f t="shared" si="5"/>
        <v>747800</v>
      </c>
      <c r="P56" s="106">
        <f>P52+(P64-P52)*4/12</f>
        <v>1.034</v>
      </c>
      <c r="Q56" s="107">
        <f t="shared" si="2"/>
        <v>773225.20000000007</v>
      </c>
    </row>
    <row r="57" spans="2:17">
      <c r="B57" s="103" t="s">
        <v>160</v>
      </c>
      <c r="C57" s="104">
        <f t="shared" si="6"/>
        <v>74200</v>
      </c>
      <c r="D57" s="105">
        <f>D52+(H4-D52)*5/12</f>
        <v>0.98569166666666674</v>
      </c>
      <c r="E57" s="110">
        <f t="shared" si="0"/>
        <v>73138.32166666667</v>
      </c>
      <c r="F57" s="112" t="s">
        <v>210</v>
      </c>
      <c r="G57" s="104">
        <f t="shared" si="8"/>
        <v>230200</v>
      </c>
      <c r="H57" s="105">
        <f>H52+(L4-H52)*5/12</f>
        <v>1.0018833333333332</v>
      </c>
      <c r="I57" s="113">
        <f t="shared" si="3"/>
        <v>230633.54333333331</v>
      </c>
      <c r="J57" s="111" t="s">
        <v>259</v>
      </c>
      <c r="K57" s="104">
        <f t="shared" si="4"/>
        <v>488200</v>
      </c>
      <c r="L57" s="106">
        <f>L52+(P4-L52)*5/12</f>
        <v>1.0177333333333334</v>
      </c>
      <c r="M57" s="114">
        <f t="shared" si="1"/>
        <v>496857.41333333333</v>
      </c>
      <c r="N57" s="112" t="s">
        <v>318</v>
      </c>
      <c r="O57" s="104">
        <f t="shared" si="5"/>
        <v>752200</v>
      </c>
      <c r="P57" s="106">
        <f>P52+(P64-P52)*5/12</f>
        <v>1.0342750000000001</v>
      </c>
      <c r="Q57" s="107">
        <f t="shared" si="2"/>
        <v>777981.65500000003</v>
      </c>
    </row>
    <row r="58" spans="2:17">
      <c r="B58" s="103" t="s">
        <v>161</v>
      </c>
      <c r="C58" s="104">
        <f t="shared" si="6"/>
        <v>75600</v>
      </c>
      <c r="D58" s="105">
        <f>D52+(H4-D52)*6/12</f>
        <v>0.9859500000000001</v>
      </c>
      <c r="E58" s="110">
        <f t="shared" si="0"/>
        <v>74537.820000000007</v>
      </c>
      <c r="F58" s="112" t="s">
        <v>211</v>
      </c>
      <c r="G58" s="104">
        <f t="shared" si="8"/>
        <v>233600</v>
      </c>
      <c r="H58" s="105">
        <f>H52+(L4-H52)*6/12</f>
        <v>1.0021</v>
      </c>
      <c r="I58" s="113">
        <f t="shared" si="3"/>
        <v>234090.56</v>
      </c>
      <c r="J58" s="111" t="s">
        <v>260</v>
      </c>
      <c r="K58" s="104">
        <f t="shared" si="4"/>
        <v>492600</v>
      </c>
      <c r="L58" s="106">
        <f>L52+(P4-L52)*6/12</f>
        <v>1.018</v>
      </c>
      <c r="M58" s="114">
        <f t="shared" si="1"/>
        <v>501466.8</v>
      </c>
      <c r="N58" s="112" t="s">
        <v>319</v>
      </c>
      <c r="O58" s="104">
        <f t="shared" si="5"/>
        <v>756600</v>
      </c>
      <c r="P58" s="106">
        <f>P52+(P64-P52)*6/12</f>
        <v>1.0345499999999999</v>
      </c>
      <c r="Q58" s="107">
        <f t="shared" si="2"/>
        <v>782740.52999999991</v>
      </c>
    </row>
    <row r="59" spans="2:17">
      <c r="B59" s="103" t="s">
        <v>162</v>
      </c>
      <c r="C59" s="104">
        <f t="shared" si="6"/>
        <v>77000</v>
      </c>
      <c r="D59" s="105">
        <f>D52+(H4-D52)*7/12</f>
        <v>0.98620833333333335</v>
      </c>
      <c r="E59" s="110">
        <f t="shared" si="0"/>
        <v>75938.041666666672</v>
      </c>
      <c r="F59" s="112" t="s">
        <v>212</v>
      </c>
      <c r="G59" s="104">
        <f t="shared" si="8"/>
        <v>237000</v>
      </c>
      <c r="H59" s="105">
        <f>H52+(L4-H52)*7/12</f>
        <v>1.0023166666666667</v>
      </c>
      <c r="I59" s="113">
        <f t="shared" si="3"/>
        <v>237549.05000000002</v>
      </c>
      <c r="J59" s="111" t="s">
        <v>261</v>
      </c>
      <c r="K59" s="104">
        <f t="shared" si="4"/>
        <v>497000</v>
      </c>
      <c r="L59" s="106">
        <f>L52+(P4-L52)*7/12</f>
        <v>1.0182666666666667</v>
      </c>
      <c r="M59" s="114">
        <f t="shared" si="1"/>
        <v>506078.53333333333</v>
      </c>
      <c r="N59" s="112" t="s">
        <v>320</v>
      </c>
      <c r="O59" s="104">
        <f t="shared" si="5"/>
        <v>761000</v>
      </c>
      <c r="P59" s="106">
        <f>P52+(P64-P52)*7/12</f>
        <v>1.0348249999999999</v>
      </c>
      <c r="Q59" s="107">
        <f t="shared" si="2"/>
        <v>787501.82499999995</v>
      </c>
    </row>
    <row r="60" spans="2:17">
      <c r="B60" s="103" t="s">
        <v>163</v>
      </c>
      <c r="C60" s="104">
        <f t="shared" si="6"/>
        <v>78400</v>
      </c>
      <c r="D60" s="105">
        <f>D52+(H4-D52)*8/12</f>
        <v>0.98646666666666671</v>
      </c>
      <c r="E60" s="110">
        <f t="shared" si="0"/>
        <v>77338.986666666664</v>
      </c>
      <c r="F60" s="112" t="s">
        <v>213</v>
      </c>
      <c r="G60" s="104">
        <f t="shared" si="8"/>
        <v>240400</v>
      </c>
      <c r="H60" s="105">
        <f>H52+(L4-H52)*8/12</f>
        <v>1.0025333333333333</v>
      </c>
      <c r="I60" s="113">
        <f t="shared" si="3"/>
        <v>241009.01333333331</v>
      </c>
      <c r="J60" s="111" t="s">
        <v>262</v>
      </c>
      <c r="K60" s="104">
        <f t="shared" si="4"/>
        <v>501400</v>
      </c>
      <c r="L60" s="106">
        <f>L52+(P4-L52)*8/12</f>
        <v>1.0185333333333333</v>
      </c>
      <c r="M60" s="114">
        <f t="shared" si="1"/>
        <v>510692.61333333328</v>
      </c>
      <c r="N60" s="112" t="s">
        <v>321</v>
      </c>
      <c r="O60" s="104">
        <f t="shared" si="5"/>
        <v>765400</v>
      </c>
      <c r="P60" s="106">
        <f>P52+(P64-P52)*8/12</f>
        <v>1.0350999999999999</v>
      </c>
      <c r="Q60" s="107">
        <f t="shared" si="2"/>
        <v>792265.53999999992</v>
      </c>
    </row>
    <row r="61" spans="2:17">
      <c r="B61" s="103" t="s">
        <v>121</v>
      </c>
      <c r="C61" s="104">
        <f t="shared" si="6"/>
        <v>79800</v>
      </c>
      <c r="D61" s="105">
        <f>D52+(H4-D52)*9/12</f>
        <v>0.98672500000000007</v>
      </c>
      <c r="E61" s="110">
        <f t="shared" si="0"/>
        <v>78740.654999999999</v>
      </c>
      <c r="F61" s="112" t="s">
        <v>78</v>
      </c>
      <c r="G61" s="104">
        <f t="shared" si="8"/>
        <v>243800</v>
      </c>
      <c r="H61" s="105">
        <f>H52+(L4-H52)*9/12</f>
        <v>1.00275</v>
      </c>
      <c r="I61" s="113">
        <f t="shared" si="3"/>
        <v>244470.45</v>
      </c>
      <c r="J61" s="111" t="s">
        <v>263</v>
      </c>
      <c r="K61" s="104">
        <f t="shared" si="4"/>
        <v>505800</v>
      </c>
      <c r="L61" s="106">
        <f>L52+(P4-L52)*9/12</f>
        <v>1.0188000000000001</v>
      </c>
      <c r="M61" s="114">
        <f t="shared" si="1"/>
        <v>515309.0400000001</v>
      </c>
      <c r="N61" s="112" t="s">
        <v>322</v>
      </c>
      <c r="O61" s="104">
        <f t="shared" si="5"/>
        <v>769800</v>
      </c>
      <c r="P61" s="106">
        <f>P52+(P64-P52)*9/12</f>
        <v>1.0353749999999999</v>
      </c>
      <c r="Q61" s="107">
        <f t="shared" si="2"/>
        <v>797031.67499999993</v>
      </c>
    </row>
    <row r="62" spans="2:17">
      <c r="B62" s="103" t="s">
        <v>105</v>
      </c>
      <c r="C62" s="104">
        <f t="shared" si="6"/>
        <v>81200</v>
      </c>
      <c r="D62" s="105">
        <f>D52+(H4-D52)*10/12</f>
        <v>0.98698333333333332</v>
      </c>
      <c r="E62" s="110">
        <f t="shared" si="0"/>
        <v>80143.046666666662</v>
      </c>
      <c r="F62" s="112" t="s">
        <v>49</v>
      </c>
      <c r="G62" s="104">
        <f t="shared" si="8"/>
        <v>247200</v>
      </c>
      <c r="H62" s="105">
        <f>H52+(L4-H52)*10/12</f>
        <v>1.0029666666666668</v>
      </c>
      <c r="I62" s="113">
        <f t="shared" si="3"/>
        <v>247933.36000000002</v>
      </c>
      <c r="J62" s="111" t="s">
        <v>264</v>
      </c>
      <c r="K62" s="104">
        <f t="shared" si="4"/>
        <v>510200</v>
      </c>
      <c r="L62" s="106">
        <f>L52+(P4-L52)*10/12</f>
        <v>1.0190666666666668</v>
      </c>
      <c r="M62" s="114">
        <f t="shared" si="1"/>
        <v>519927.81333333341</v>
      </c>
      <c r="N62" s="112" t="s">
        <v>323</v>
      </c>
      <c r="O62" s="104">
        <f t="shared" si="5"/>
        <v>774200</v>
      </c>
      <c r="P62" s="106">
        <f>P52+(P64-P52)*10/12</f>
        <v>1.03565</v>
      </c>
      <c r="Q62" s="107">
        <f t="shared" si="2"/>
        <v>801800.23</v>
      </c>
    </row>
    <row r="63" spans="2:17">
      <c r="B63" s="103" t="s">
        <v>71</v>
      </c>
      <c r="C63" s="104">
        <f t="shared" si="6"/>
        <v>82600</v>
      </c>
      <c r="D63" s="105">
        <f>D52+(H4-D52)*11/12</f>
        <v>0.98724166666666668</v>
      </c>
      <c r="E63" s="110">
        <f t="shared" si="0"/>
        <v>81546.161666666667</v>
      </c>
      <c r="F63" s="112" t="s">
        <v>76</v>
      </c>
      <c r="G63" s="104">
        <f t="shared" si="8"/>
        <v>250600</v>
      </c>
      <c r="H63" s="105">
        <f>H52+(L4-H52)*11/12</f>
        <v>1.0031833333333333</v>
      </c>
      <c r="I63" s="113">
        <f t="shared" si="3"/>
        <v>251397.74333333332</v>
      </c>
      <c r="J63" s="111" t="s">
        <v>265</v>
      </c>
      <c r="K63" s="104">
        <f t="shared" si="4"/>
        <v>514600</v>
      </c>
      <c r="L63" s="106">
        <f>L52+(P4-L52)*11/12</f>
        <v>1.0193333333333334</v>
      </c>
      <c r="M63" s="114">
        <f t="shared" si="1"/>
        <v>524548.93333333335</v>
      </c>
      <c r="N63" s="112" t="s">
        <v>324</v>
      </c>
      <c r="O63" s="104">
        <f t="shared" si="5"/>
        <v>778600</v>
      </c>
      <c r="P63" s="106">
        <f>P52+(P64-P52)*11/12</f>
        <v>1.035925</v>
      </c>
      <c r="Q63" s="107">
        <f t="shared" si="2"/>
        <v>806571.20499999996</v>
      </c>
    </row>
    <row r="64" spans="2:17">
      <c r="N64" s="233" t="s">
        <v>325</v>
      </c>
      <c r="O64" s="234">
        <f t="shared" si="5"/>
        <v>783000</v>
      </c>
      <c r="P64" s="235">
        <v>1.0362</v>
      </c>
      <c r="Q64" s="234">
        <f>O64*P64</f>
        <v>811344.6</v>
      </c>
    </row>
    <row r="66" spans="14:14">
      <c r="N66" s="95" t="s">
        <v>624</v>
      </c>
    </row>
  </sheetData>
  <phoneticPr fontId="2"/>
  <pageMargins left="0.7" right="0.7" top="0.75" bottom="0.75" header="0.3" footer="0.3"/>
  <pageSetup paperSize="8"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B2:Q64"/>
  <sheetViews>
    <sheetView topLeftCell="A22" workbookViewId="0">
      <selection activeCell="N64" sqref="N64:Q64"/>
    </sheetView>
  </sheetViews>
  <sheetFormatPr defaultRowHeight="12"/>
  <cols>
    <col min="1" max="1" width="9" style="95"/>
    <col min="2" max="2" width="9" style="96"/>
    <col min="3" max="3" width="9" style="95"/>
    <col min="4" max="4" width="18.5" style="98" bestFit="1" customWidth="1"/>
    <col min="5" max="5" width="9" style="100"/>
    <col min="6" max="7" width="9" style="96"/>
    <col min="8" max="8" width="18.5" style="97" bestFit="1" customWidth="1"/>
    <col min="9" max="9" width="9" style="99"/>
    <col min="10" max="11" width="9" style="96"/>
    <col min="12" max="12" width="18.5" style="98" bestFit="1" customWidth="1"/>
    <col min="13" max="13" width="9" style="101"/>
    <col min="14" max="15" width="9" style="95"/>
    <col min="16" max="16" width="18.5" style="95" bestFit="1" customWidth="1"/>
    <col min="17" max="16384" width="9" style="95"/>
  </cols>
  <sheetData>
    <row r="2" spans="2:17">
      <c r="C2" s="96"/>
      <c r="D2" s="97"/>
      <c r="E2" s="99"/>
    </row>
    <row r="3" spans="2:17">
      <c r="B3" s="103" t="s">
        <v>131</v>
      </c>
      <c r="C3" s="103" t="s">
        <v>130</v>
      </c>
      <c r="D3" s="105" t="s">
        <v>6</v>
      </c>
      <c r="E3" s="115" t="s">
        <v>68</v>
      </c>
      <c r="F3" s="112" t="s">
        <v>131</v>
      </c>
      <c r="G3" s="103" t="s">
        <v>130</v>
      </c>
      <c r="H3" s="105" t="s">
        <v>6</v>
      </c>
      <c r="I3" s="113" t="s">
        <v>68</v>
      </c>
      <c r="J3" s="111" t="s">
        <v>131</v>
      </c>
      <c r="K3" s="103" t="s">
        <v>130</v>
      </c>
      <c r="L3" s="105" t="s">
        <v>6</v>
      </c>
      <c r="M3" s="116" t="s">
        <v>68</v>
      </c>
      <c r="N3" s="111" t="s">
        <v>131</v>
      </c>
      <c r="O3" s="103" t="s">
        <v>130</v>
      </c>
      <c r="P3" s="105" t="s">
        <v>6</v>
      </c>
      <c r="Q3" s="104" t="s">
        <v>68</v>
      </c>
    </row>
    <row r="4" spans="2:17">
      <c r="B4" s="233" t="s">
        <v>325</v>
      </c>
      <c r="C4" s="242">
        <v>783000</v>
      </c>
      <c r="D4" s="240">
        <v>1.0362</v>
      </c>
      <c r="E4" s="236">
        <f>C4*D4</f>
        <v>811344.6</v>
      </c>
      <c r="F4" s="237" t="s">
        <v>385</v>
      </c>
      <c r="G4" s="234">
        <f>C63+4400</f>
        <v>1047000</v>
      </c>
      <c r="H4" s="235">
        <v>1.0530999999999999</v>
      </c>
      <c r="I4" s="238">
        <f>G4*H4</f>
        <v>1102595.7</v>
      </c>
      <c r="J4" s="239" t="s">
        <v>445</v>
      </c>
      <c r="K4" s="234">
        <f>G63+4400</f>
        <v>1311000</v>
      </c>
      <c r="L4" s="240">
        <v>1.0704</v>
      </c>
      <c r="M4" s="241">
        <f>K4*L4</f>
        <v>1403294.4000000001</v>
      </c>
      <c r="N4" s="237" t="s">
        <v>505</v>
      </c>
      <c r="O4" s="234">
        <f>K63+4400</f>
        <v>1575000</v>
      </c>
      <c r="P4" s="240">
        <f>L40+(L52-L40)*24/12</f>
        <v>1.0879000000000003</v>
      </c>
      <c r="Q4" s="242">
        <f>O4*P4</f>
        <v>1713442.5000000005</v>
      </c>
    </row>
    <row r="5" spans="2:17">
      <c r="B5" s="103" t="s">
        <v>326</v>
      </c>
      <c r="C5" s="104">
        <f>C4+4400</f>
        <v>787400</v>
      </c>
      <c r="D5" s="105">
        <f>D4+(D16-D4)*1/12</f>
        <v>1.036475</v>
      </c>
      <c r="E5" s="110">
        <f t="shared" ref="E5:E63" si="0">C5*D5</f>
        <v>816120.41500000004</v>
      </c>
      <c r="F5" s="112" t="s">
        <v>386</v>
      </c>
      <c r="G5" s="104">
        <f>G4+4400</f>
        <v>1051400</v>
      </c>
      <c r="H5" s="105">
        <f>H4+(H16-H4)*1/12</f>
        <v>1.0533833333333333</v>
      </c>
      <c r="I5" s="113">
        <f t="shared" ref="I5:I63" si="1">G5*H5</f>
        <v>1107527.2366666666</v>
      </c>
      <c r="J5" s="111" t="s">
        <v>446</v>
      </c>
      <c r="K5" s="104">
        <f>K4+4400</f>
        <v>1315400</v>
      </c>
      <c r="L5" s="106">
        <f>L4+(L16-L4)*1/12</f>
        <v>1.0706916666666666</v>
      </c>
      <c r="M5" s="114">
        <f t="shared" ref="M5:M63" si="2">K5*L5</f>
        <v>1408387.8183333334</v>
      </c>
      <c r="N5" s="112" t="s">
        <v>506</v>
      </c>
      <c r="O5" s="104">
        <f>O4+4400</f>
        <v>1579400</v>
      </c>
      <c r="P5" s="106"/>
      <c r="Q5" s="107">
        <f t="shared" ref="Q5:Q63" si="3">O5*P5</f>
        <v>0</v>
      </c>
    </row>
    <row r="6" spans="2:17">
      <c r="B6" s="103" t="s">
        <v>327</v>
      </c>
      <c r="C6" s="104">
        <f t="shared" ref="C6:C63" si="4">C5+4400</f>
        <v>791800</v>
      </c>
      <c r="D6" s="105">
        <f>D4+(D16-D4)*2/12</f>
        <v>1.0367500000000001</v>
      </c>
      <c r="E6" s="110">
        <f t="shared" si="0"/>
        <v>820898.65</v>
      </c>
      <c r="F6" s="112" t="s">
        <v>387</v>
      </c>
      <c r="G6" s="104">
        <f t="shared" ref="G6:G63" si="5">G5+4400</f>
        <v>1055800</v>
      </c>
      <c r="H6" s="105">
        <f>H4+(H16-H4)*2/12</f>
        <v>1.0536666666666665</v>
      </c>
      <c r="I6" s="113">
        <f t="shared" si="1"/>
        <v>1112461.2666666666</v>
      </c>
      <c r="J6" s="111" t="s">
        <v>447</v>
      </c>
      <c r="K6" s="104">
        <f t="shared" ref="K6:K63" si="6">K5+4400</f>
        <v>1319800</v>
      </c>
      <c r="L6" s="106">
        <f>L4+(L16-L4)*2/12</f>
        <v>1.0709833333333334</v>
      </c>
      <c r="M6" s="114">
        <f t="shared" si="2"/>
        <v>1413483.8033333335</v>
      </c>
      <c r="N6" s="112" t="s">
        <v>507</v>
      </c>
      <c r="O6" s="104">
        <f t="shared" ref="O6:O64" si="7">O5+4400</f>
        <v>1583800</v>
      </c>
      <c r="P6" s="106"/>
      <c r="Q6" s="107">
        <f t="shared" si="3"/>
        <v>0</v>
      </c>
    </row>
    <row r="7" spans="2:17">
      <c r="B7" s="103" t="s">
        <v>328</v>
      </c>
      <c r="C7" s="104">
        <f t="shared" si="4"/>
        <v>796200</v>
      </c>
      <c r="D7" s="105">
        <f>D4+(D16-D4)*3/12</f>
        <v>1.0370250000000001</v>
      </c>
      <c r="E7" s="110">
        <f t="shared" si="0"/>
        <v>825679.30500000005</v>
      </c>
      <c r="F7" s="112" t="s">
        <v>388</v>
      </c>
      <c r="G7" s="104">
        <f t="shared" si="5"/>
        <v>1060200</v>
      </c>
      <c r="H7" s="105">
        <f>H4+(H16-H4)*3/12</f>
        <v>1.0539499999999999</v>
      </c>
      <c r="I7" s="113">
        <f t="shared" si="1"/>
        <v>1117397.79</v>
      </c>
      <c r="J7" s="111" t="s">
        <v>448</v>
      </c>
      <c r="K7" s="104">
        <f t="shared" si="6"/>
        <v>1324200</v>
      </c>
      <c r="L7" s="106">
        <f>L4+(L16-L4)*3/12</f>
        <v>1.071275</v>
      </c>
      <c r="M7" s="114">
        <f t="shared" si="2"/>
        <v>1418582.355</v>
      </c>
      <c r="N7" s="112" t="s">
        <v>508</v>
      </c>
      <c r="O7" s="104">
        <f t="shared" si="7"/>
        <v>1588200</v>
      </c>
      <c r="P7" s="106"/>
      <c r="Q7" s="107">
        <f t="shared" si="3"/>
        <v>0</v>
      </c>
    </row>
    <row r="8" spans="2:17">
      <c r="B8" s="103" t="s">
        <v>329</v>
      </c>
      <c r="C8" s="104">
        <f t="shared" si="4"/>
        <v>800600</v>
      </c>
      <c r="D8" s="105">
        <f>D4+(D16-D4)*4/12</f>
        <v>1.0373000000000001</v>
      </c>
      <c r="E8" s="110">
        <f t="shared" si="0"/>
        <v>830462.38000000012</v>
      </c>
      <c r="F8" s="112" t="s">
        <v>389</v>
      </c>
      <c r="G8" s="104">
        <f t="shared" si="5"/>
        <v>1064600</v>
      </c>
      <c r="H8" s="105">
        <f>H4+(H16-H4)*4/12</f>
        <v>1.0542333333333334</v>
      </c>
      <c r="I8" s="113">
        <f t="shared" si="1"/>
        <v>1122336.8066666666</v>
      </c>
      <c r="J8" s="111" t="s">
        <v>449</v>
      </c>
      <c r="K8" s="104">
        <f t="shared" si="6"/>
        <v>1328600</v>
      </c>
      <c r="L8" s="106">
        <f>L4+(L16-L4)*4/12</f>
        <v>1.0715666666666668</v>
      </c>
      <c r="M8" s="114">
        <f t="shared" si="2"/>
        <v>1423683.4733333334</v>
      </c>
      <c r="N8" s="112" t="s">
        <v>509</v>
      </c>
      <c r="O8" s="104">
        <f t="shared" si="7"/>
        <v>1592600</v>
      </c>
      <c r="P8" s="106"/>
      <c r="Q8" s="107">
        <f t="shared" si="3"/>
        <v>0</v>
      </c>
    </row>
    <row r="9" spans="2:17">
      <c r="B9" s="103" t="s">
        <v>330</v>
      </c>
      <c r="C9" s="104">
        <f t="shared" si="4"/>
        <v>805000</v>
      </c>
      <c r="D9" s="105">
        <f>D4+(D16-D4)*5/12</f>
        <v>1.0375750000000001</v>
      </c>
      <c r="E9" s="110">
        <f t="shared" si="0"/>
        <v>835247.87500000012</v>
      </c>
      <c r="F9" s="112" t="s">
        <v>390</v>
      </c>
      <c r="G9" s="104">
        <f t="shared" si="5"/>
        <v>1069000</v>
      </c>
      <c r="H9" s="105">
        <f>H4+(H16-H4)*5/12</f>
        <v>1.0545166666666665</v>
      </c>
      <c r="I9" s="113">
        <f t="shared" si="1"/>
        <v>1127278.3166666667</v>
      </c>
      <c r="J9" s="111" t="s">
        <v>450</v>
      </c>
      <c r="K9" s="104">
        <f t="shared" si="6"/>
        <v>1333000</v>
      </c>
      <c r="L9" s="106">
        <f>L4+(L16-L4)*5/12</f>
        <v>1.0718583333333334</v>
      </c>
      <c r="M9" s="114">
        <f t="shared" si="2"/>
        <v>1428787.1583333334</v>
      </c>
      <c r="N9" s="112" t="s">
        <v>510</v>
      </c>
      <c r="O9" s="104">
        <f t="shared" si="7"/>
        <v>1597000</v>
      </c>
      <c r="P9" s="106"/>
      <c r="Q9" s="107">
        <f t="shared" si="3"/>
        <v>0</v>
      </c>
    </row>
    <row r="10" spans="2:17">
      <c r="B10" s="103" t="s">
        <v>331</v>
      </c>
      <c r="C10" s="104">
        <f t="shared" si="4"/>
        <v>809400</v>
      </c>
      <c r="D10" s="105">
        <f>D4+(D16-D4)*6/12</f>
        <v>1.0378500000000002</v>
      </c>
      <c r="E10" s="110">
        <f t="shared" si="0"/>
        <v>840035.79000000015</v>
      </c>
      <c r="F10" s="112" t="s">
        <v>391</v>
      </c>
      <c r="G10" s="104">
        <f t="shared" si="5"/>
        <v>1073400</v>
      </c>
      <c r="H10" s="105">
        <f>H4+(H16-H4)*6/12</f>
        <v>1.0548</v>
      </c>
      <c r="I10" s="113">
        <f t="shared" si="1"/>
        <v>1132222.32</v>
      </c>
      <c r="J10" s="111" t="s">
        <v>451</v>
      </c>
      <c r="K10" s="104">
        <f t="shared" si="6"/>
        <v>1337400</v>
      </c>
      <c r="L10" s="106">
        <f>L4+(L16-L4)*6/12</f>
        <v>1.0721500000000002</v>
      </c>
      <c r="M10" s="114">
        <f t="shared" si="2"/>
        <v>1433893.4100000001</v>
      </c>
      <c r="N10" s="112" t="s">
        <v>511</v>
      </c>
      <c r="O10" s="104">
        <f t="shared" si="7"/>
        <v>1601400</v>
      </c>
      <c r="P10" s="106"/>
      <c r="Q10" s="107">
        <f t="shared" si="3"/>
        <v>0</v>
      </c>
    </row>
    <row r="11" spans="2:17">
      <c r="B11" s="103" t="s">
        <v>332</v>
      </c>
      <c r="C11" s="104">
        <f t="shared" si="4"/>
        <v>813800</v>
      </c>
      <c r="D11" s="105">
        <f>D4+(D16-D4)*7/12</f>
        <v>1.038125</v>
      </c>
      <c r="E11" s="110">
        <f t="shared" si="0"/>
        <v>844826.125</v>
      </c>
      <c r="F11" s="112" t="s">
        <v>392</v>
      </c>
      <c r="G11" s="104">
        <f t="shared" si="5"/>
        <v>1077800</v>
      </c>
      <c r="H11" s="105">
        <f>H4+(H16-H4)*7/12</f>
        <v>1.0550833333333334</v>
      </c>
      <c r="I11" s="113">
        <f t="shared" si="1"/>
        <v>1137168.8166666667</v>
      </c>
      <c r="J11" s="111" t="s">
        <v>452</v>
      </c>
      <c r="K11" s="104">
        <f t="shared" si="6"/>
        <v>1341800</v>
      </c>
      <c r="L11" s="106">
        <f>L4+(L16-L4)*7/12</f>
        <v>1.0724416666666667</v>
      </c>
      <c r="M11" s="114">
        <f t="shared" si="2"/>
        <v>1439002.2283333335</v>
      </c>
      <c r="N11" s="112" t="s">
        <v>512</v>
      </c>
      <c r="O11" s="104">
        <f t="shared" si="7"/>
        <v>1605800</v>
      </c>
      <c r="P11" s="106"/>
      <c r="Q11" s="107">
        <f t="shared" si="3"/>
        <v>0</v>
      </c>
    </row>
    <row r="12" spans="2:17">
      <c r="B12" s="103" t="s">
        <v>333</v>
      </c>
      <c r="C12" s="104">
        <f t="shared" si="4"/>
        <v>818200</v>
      </c>
      <c r="D12" s="105">
        <f>D4+(D16-D4)*8/12</f>
        <v>1.0384</v>
      </c>
      <c r="E12" s="110">
        <f t="shared" si="0"/>
        <v>849618.88</v>
      </c>
      <c r="F12" s="112" t="s">
        <v>393</v>
      </c>
      <c r="G12" s="104">
        <f t="shared" si="5"/>
        <v>1082200</v>
      </c>
      <c r="H12" s="105">
        <f>H4+(H16-H4)*8/12</f>
        <v>1.0553666666666666</v>
      </c>
      <c r="I12" s="113">
        <f t="shared" si="1"/>
        <v>1142117.8066666666</v>
      </c>
      <c r="J12" s="111" t="s">
        <v>453</v>
      </c>
      <c r="K12" s="104">
        <f t="shared" si="6"/>
        <v>1346200</v>
      </c>
      <c r="L12" s="106">
        <f>L4+(L16-L4)*8/12</f>
        <v>1.0727333333333333</v>
      </c>
      <c r="M12" s="114">
        <f t="shared" si="2"/>
        <v>1444113.6133333333</v>
      </c>
      <c r="N12" s="112" t="s">
        <v>513</v>
      </c>
      <c r="O12" s="104">
        <f t="shared" si="7"/>
        <v>1610200</v>
      </c>
      <c r="P12" s="106"/>
      <c r="Q12" s="107">
        <f t="shared" si="3"/>
        <v>0</v>
      </c>
    </row>
    <row r="13" spans="2:17">
      <c r="B13" s="103" t="s">
        <v>334</v>
      </c>
      <c r="C13" s="104">
        <f t="shared" si="4"/>
        <v>822600</v>
      </c>
      <c r="D13" s="105">
        <f>D4+(D16-D4)*9/12</f>
        <v>1.038675</v>
      </c>
      <c r="E13" s="110">
        <f t="shared" si="0"/>
        <v>854414.05500000005</v>
      </c>
      <c r="F13" s="112" t="s">
        <v>394</v>
      </c>
      <c r="G13" s="104">
        <f t="shared" si="5"/>
        <v>1086600</v>
      </c>
      <c r="H13" s="105">
        <f>H4+(H16-H4)*9/12</f>
        <v>1.05565</v>
      </c>
      <c r="I13" s="113">
        <f t="shared" si="1"/>
        <v>1147069.29</v>
      </c>
      <c r="J13" s="111" t="s">
        <v>454</v>
      </c>
      <c r="K13" s="104">
        <f t="shared" si="6"/>
        <v>1350600</v>
      </c>
      <c r="L13" s="106">
        <f>L4+(L16-L4)*9/12</f>
        <v>1.0730250000000001</v>
      </c>
      <c r="M13" s="114">
        <f t="shared" si="2"/>
        <v>1449227.5650000002</v>
      </c>
      <c r="N13" s="112" t="s">
        <v>514</v>
      </c>
      <c r="O13" s="104">
        <f t="shared" si="7"/>
        <v>1614600</v>
      </c>
      <c r="P13" s="106"/>
      <c r="Q13" s="107">
        <f t="shared" si="3"/>
        <v>0</v>
      </c>
    </row>
    <row r="14" spans="2:17">
      <c r="B14" s="103" t="s">
        <v>335</v>
      </c>
      <c r="C14" s="104">
        <f t="shared" si="4"/>
        <v>827000</v>
      </c>
      <c r="D14" s="105">
        <f>D4+(D16-D4)*10/12</f>
        <v>1.03895</v>
      </c>
      <c r="E14" s="110">
        <f t="shared" si="0"/>
        <v>859211.65</v>
      </c>
      <c r="F14" s="112" t="s">
        <v>395</v>
      </c>
      <c r="G14" s="104">
        <f t="shared" si="5"/>
        <v>1091000</v>
      </c>
      <c r="H14" s="105">
        <f>H4+(H16-H4)*10/12</f>
        <v>1.0559333333333334</v>
      </c>
      <c r="I14" s="113">
        <f t="shared" si="1"/>
        <v>1152023.2666666668</v>
      </c>
      <c r="J14" s="111" t="s">
        <v>455</v>
      </c>
      <c r="K14" s="104">
        <f t="shared" si="6"/>
        <v>1355000</v>
      </c>
      <c r="L14" s="106">
        <f>L4+(L16-L4)*10/12</f>
        <v>1.0733166666666667</v>
      </c>
      <c r="M14" s="114">
        <f t="shared" si="2"/>
        <v>1454344.0833333335</v>
      </c>
      <c r="N14" s="112" t="s">
        <v>515</v>
      </c>
      <c r="O14" s="104">
        <f t="shared" si="7"/>
        <v>1619000</v>
      </c>
      <c r="P14" s="106"/>
      <c r="Q14" s="107">
        <f t="shared" si="3"/>
        <v>0</v>
      </c>
    </row>
    <row r="15" spans="2:17">
      <c r="B15" s="103" t="s">
        <v>336</v>
      </c>
      <c r="C15" s="104">
        <f t="shared" si="4"/>
        <v>831400</v>
      </c>
      <c r="D15" s="105">
        <f>D4+(D16-D4)*11/12</f>
        <v>1.0392250000000001</v>
      </c>
      <c r="E15" s="110">
        <f t="shared" si="0"/>
        <v>864011.66500000004</v>
      </c>
      <c r="F15" s="112" t="s">
        <v>396</v>
      </c>
      <c r="G15" s="104">
        <f t="shared" si="5"/>
        <v>1095400</v>
      </c>
      <c r="H15" s="105">
        <f>H4+(H16-H4)*11/12</f>
        <v>1.0562166666666666</v>
      </c>
      <c r="I15" s="113">
        <f t="shared" si="1"/>
        <v>1156979.7366666666</v>
      </c>
      <c r="J15" s="111" t="s">
        <v>456</v>
      </c>
      <c r="K15" s="104">
        <f t="shared" si="6"/>
        <v>1359400</v>
      </c>
      <c r="L15" s="106">
        <f>L4+(L16-L4)*11/12</f>
        <v>1.0736083333333335</v>
      </c>
      <c r="M15" s="114">
        <f t="shared" si="2"/>
        <v>1459463.1683333335</v>
      </c>
      <c r="N15" s="112" t="s">
        <v>516</v>
      </c>
      <c r="O15" s="104">
        <f t="shared" si="7"/>
        <v>1623400</v>
      </c>
      <c r="P15" s="106"/>
      <c r="Q15" s="107">
        <f t="shared" si="3"/>
        <v>0</v>
      </c>
    </row>
    <row r="16" spans="2:17">
      <c r="B16" s="233" t="s">
        <v>337</v>
      </c>
      <c r="C16" s="234">
        <f t="shared" si="4"/>
        <v>835800</v>
      </c>
      <c r="D16" s="235">
        <v>1.0395000000000001</v>
      </c>
      <c r="E16" s="236">
        <f t="shared" si="0"/>
        <v>868814.10000000009</v>
      </c>
      <c r="F16" s="237" t="s">
        <v>397</v>
      </c>
      <c r="G16" s="234">
        <f t="shared" si="5"/>
        <v>1099800</v>
      </c>
      <c r="H16" s="235">
        <v>1.0565</v>
      </c>
      <c r="I16" s="238">
        <f t="shared" si="1"/>
        <v>1161938.7</v>
      </c>
      <c r="J16" s="239" t="s">
        <v>457</v>
      </c>
      <c r="K16" s="234">
        <f t="shared" si="6"/>
        <v>1363800</v>
      </c>
      <c r="L16" s="240">
        <v>1.0739000000000001</v>
      </c>
      <c r="M16" s="241">
        <f t="shared" si="2"/>
        <v>1464584.82</v>
      </c>
      <c r="N16" s="237" t="s">
        <v>517</v>
      </c>
      <c r="O16" s="234">
        <f t="shared" si="7"/>
        <v>1627800</v>
      </c>
      <c r="P16" s="240">
        <f>L52+(P4-L52)*24/12</f>
        <v>1.0914000000000004</v>
      </c>
      <c r="Q16" s="242">
        <f t="shared" si="3"/>
        <v>1776580.9200000006</v>
      </c>
    </row>
    <row r="17" spans="2:17">
      <c r="B17" s="103" t="s">
        <v>338</v>
      </c>
      <c r="C17" s="104">
        <f t="shared" si="4"/>
        <v>840200</v>
      </c>
      <c r="D17" s="105">
        <f>D16+(D28-D16)*1/12</f>
        <v>1.0397833333333335</v>
      </c>
      <c r="E17" s="110">
        <f t="shared" si="0"/>
        <v>873625.95666666678</v>
      </c>
      <c r="F17" s="112" t="s">
        <v>398</v>
      </c>
      <c r="G17" s="104">
        <f t="shared" si="5"/>
        <v>1104200</v>
      </c>
      <c r="H17" s="105">
        <f>H16+(H28-H16)*1/12</f>
        <v>1.0567916666666666</v>
      </c>
      <c r="I17" s="113">
        <f t="shared" si="1"/>
        <v>1166909.3583333332</v>
      </c>
      <c r="J17" s="111" t="s">
        <v>458</v>
      </c>
      <c r="K17" s="104">
        <f t="shared" si="6"/>
        <v>1368200</v>
      </c>
      <c r="L17" s="106">
        <f>L16+(L28-L16)*1/12</f>
        <v>1.0741916666666667</v>
      </c>
      <c r="M17" s="114">
        <f t="shared" si="2"/>
        <v>1469709.0383333333</v>
      </c>
      <c r="N17" s="112" t="s">
        <v>518</v>
      </c>
      <c r="O17" s="104">
        <f t="shared" si="7"/>
        <v>1632200</v>
      </c>
      <c r="P17" s="106"/>
      <c r="Q17" s="107">
        <f t="shared" si="3"/>
        <v>0</v>
      </c>
    </row>
    <row r="18" spans="2:17">
      <c r="B18" s="103" t="s">
        <v>339</v>
      </c>
      <c r="C18" s="104">
        <f t="shared" si="4"/>
        <v>844600</v>
      </c>
      <c r="D18" s="105">
        <f>D16+(D28-D16)*2/12</f>
        <v>1.0400666666666667</v>
      </c>
      <c r="E18" s="110">
        <f t="shared" si="0"/>
        <v>878440.30666666664</v>
      </c>
      <c r="F18" s="112" t="s">
        <v>399</v>
      </c>
      <c r="G18" s="104">
        <f t="shared" si="5"/>
        <v>1108600</v>
      </c>
      <c r="H18" s="105">
        <f>H16+(H28-H16)*2/12</f>
        <v>1.0570833333333334</v>
      </c>
      <c r="I18" s="113">
        <f t="shared" si="1"/>
        <v>1171882.5833333335</v>
      </c>
      <c r="J18" s="111" t="s">
        <v>459</v>
      </c>
      <c r="K18" s="104">
        <f t="shared" si="6"/>
        <v>1372600</v>
      </c>
      <c r="L18" s="106">
        <f>L16+(L28-L16)*2/12</f>
        <v>1.0744833333333335</v>
      </c>
      <c r="M18" s="114">
        <f t="shared" si="2"/>
        <v>1474835.8233333335</v>
      </c>
      <c r="N18" s="112" t="s">
        <v>519</v>
      </c>
      <c r="O18" s="104">
        <f t="shared" si="7"/>
        <v>1636600</v>
      </c>
      <c r="P18" s="106"/>
      <c r="Q18" s="107">
        <f t="shared" si="3"/>
        <v>0</v>
      </c>
    </row>
    <row r="19" spans="2:17">
      <c r="B19" s="103" t="s">
        <v>340</v>
      </c>
      <c r="C19" s="104">
        <f t="shared" si="4"/>
        <v>849000</v>
      </c>
      <c r="D19" s="105">
        <f>D16+(D28-D16)*3/12</f>
        <v>1.0403500000000001</v>
      </c>
      <c r="E19" s="110">
        <f t="shared" si="0"/>
        <v>883257.15000000014</v>
      </c>
      <c r="F19" s="112" t="s">
        <v>400</v>
      </c>
      <c r="G19" s="104">
        <f t="shared" si="5"/>
        <v>1113000</v>
      </c>
      <c r="H19" s="105">
        <f>H16+(H28-H16)*3/12</f>
        <v>1.057375</v>
      </c>
      <c r="I19" s="113">
        <f t="shared" si="1"/>
        <v>1176858.375</v>
      </c>
      <c r="J19" s="111" t="s">
        <v>460</v>
      </c>
      <c r="K19" s="104">
        <f t="shared" si="6"/>
        <v>1377000</v>
      </c>
      <c r="L19" s="106">
        <f>L16+(L28-L16)*3/12</f>
        <v>1.074775</v>
      </c>
      <c r="M19" s="114">
        <f t="shared" si="2"/>
        <v>1479965.175</v>
      </c>
      <c r="N19" s="112" t="s">
        <v>520</v>
      </c>
      <c r="O19" s="104">
        <f t="shared" si="7"/>
        <v>1641000</v>
      </c>
      <c r="P19" s="106"/>
      <c r="Q19" s="107">
        <f t="shared" si="3"/>
        <v>0</v>
      </c>
    </row>
    <row r="20" spans="2:17">
      <c r="B20" s="103" t="s">
        <v>341</v>
      </c>
      <c r="C20" s="104">
        <f t="shared" si="4"/>
        <v>853400</v>
      </c>
      <c r="D20" s="105">
        <f>D16+(D28-D16)*4/12</f>
        <v>1.0406333333333333</v>
      </c>
      <c r="E20" s="110">
        <f t="shared" si="0"/>
        <v>888076.48666666669</v>
      </c>
      <c r="F20" s="112" t="s">
        <v>401</v>
      </c>
      <c r="G20" s="104">
        <f t="shared" si="5"/>
        <v>1117400</v>
      </c>
      <c r="H20" s="105">
        <f>H16+(H28-H16)*4/12</f>
        <v>1.0576666666666668</v>
      </c>
      <c r="I20" s="113">
        <f t="shared" si="1"/>
        <v>1181836.7333333334</v>
      </c>
      <c r="J20" s="111" t="s">
        <v>461</v>
      </c>
      <c r="K20" s="104">
        <f t="shared" si="6"/>
        <v>1381400</v>
      </c>
      <c r="L20" s="106">
        <f>L16+(L28-L16)*4/12</f>
        <v>1.0750666666666668</v>
      </c>
      <c r="M20" s="114">
        <f t="shared" si="2"/>
        <v>1485097.0933333335</v>
      </c>
      <c r="N20" s="112" t="s">
        <v>521</v>
      </c>
      <c r="O20" s="104">
        <f t="shared" si="7"/>
        <v>1645400</v>
      </c>
      <c r="P20" s="106"/>
      <c r="Q20" s="107">
        <f t="shared" si="3"/>
        <v>0</v>
      </c>
    </row>
    <row r="21" spans="2:17">
      <c r="B21" s="103" t="s">
        <v>342</v>
      </c>
      <c r="C21" s="104">
        <f t="shared" si="4"/>
        <v>857800</v>
      </c>
      <c r="D21" s="105">
        <f>D16+(D28-D16)*5/12</f>
        <v>1.0409166666666667</v>
      </c>
      <c r="E21" s="110">
        <f t="shared" si="0"/>
        <v>892898.31666666665</v>
      </c>
      <c r="F21" s="112" t="s">
        <v>402</v>
      </c>
      <c r="G21" s="104">
        <f t="shared" si="5"/>
        <v>1121800</v>
      </c>
      <c r="H21" s="105">
        <f>H16+(H28-H16)*5/12</f>
        <v>1.0579583333333333</v>
      </c>
      <c r="I21" s="113">
        <f t="shared" si="1"/>
        <v>1186817.6583333334</v>
      </c>
      <c r="J21" s="111" t="s">
        <v>462</v>
      </c>
      <c r="K21" s="104">
        <f t="shared" si="6"/>
        <v>1385800</v>
      </c>
      <c r="L21" s="106">
        <f>L16+(L28-L16)*5/12</f>
        <v>1.0753583333333334</v>
      </c>
      <c r="M21" s="114">
        <f t="shared" si="2"/>
        <v>1490231.5783333334</v>
      </c>
      <c r="N21" s="112" t="s">
        <v>522</v>
      </c>
      <c r="O21" s="104">
        <f t="shared" si="7"/>
        <v>1649800</v>
      </c>
      <c r="P21" s="106"/>
      <c r="Q21" s="107">
        <f t="shared" si="3"/>
        <v>0</v>
      </c>
    </row>
    <row r="22" spans="2:17">
      <c r="B22" s="103" t="s">
        <v>343</v>
      </c>
      <c r="C22" s="104">
        <f t="shared" si="4"/>
        <v>862200</v>
      </c>
      <c r="D22" s="105">
        <f>D16+(D28-D16)*6/12</f>
        <v>1.0411999999999999</v>
      </c>
      <c r="E22" s="110">
        <f t="shared" si="0"/>
        <v>897722.6399999999</v>
      </c>
      <c r="F22" s="112" t="s">
        <v>403</v>
      </c>
      <c r="G22" s="104">
        <f t="shared" si="5"/>
        <v>1126200</v>
      </c>
      <c r="H22" s="105">
        <f>H16+(H28-H16)*6/12</f>
        <v>1.0582500000000001</v>
      </c>
      <c r="I22" s="113">
        <f t="shared" si="1"/>
        <v>1191801.1500000001</v>
      </c>
      <c r="J22" s="111" t="s">
        <v>463</v>
      </c>
      <c r="K22" s="104">
        <f t="shared" si="6"/>
        <v>1390200</v>
      </c>
      <c r="L22" s="106">
        <f>L16+(L28-L16)*6/12</f>
        <v>1.07565</v>
      </c>
      <c r="M22" s="114">
        <f t="shared" si="2"/>
        <v>1495368.63</v>
      </c>
      <c r="N22" s="112" t="s">
        <v>523</v>
      </c>
      <c r="O22" s="104">
        <f t="shared" si="7"/>
        <v>1654200</v>
      </c>
      <c r="P22" s="106"/>
      <c r="Q22" s="107">
        <f t="shared" si="3"/>
        <v>0</v>
      </c>
    </row>
    <row r="23" spans="2:17">
      <c r="B23" s="103" t="s">
        <v>344</v>
      </c>
      <c r="C23" s="104">
        <f t="shared" si="4"/>
        <v>866600</v>
      </c>
      <c r="D23" s="105">
        <f>D16+(D28-D16)*7/12</f>
        <v>1.0414833333333333</v>
      </c>
      <c r="E23" s="110">
        <f t="shared" si="0"/>
        <v>902549.45666666667</v>
      </c>
      <c r="F23" s="112" t="s">
        <v>404</v>
      </c>
      <c r="G23" s="104">
        <f t="shared" si="5"/>
        <v>1130600</v>
      </c>
      <c r="H23" s="105">
        <f>H16+(H28-H16)*7/12</f>
        <v>1.0585416666666667</v>
      </c>
      <c r="I23" s="113">
        <f t="shared" si="1"/>
        <v>1196787.2083333335</v>
      </c>
      <c r="J23" s="111" t="s">
        <v>464</v>
      </c>
      <c r="K23" s="104">
        <f t="shared" si="6"/>
        <v>1394600</v>
      </c>
      <c r="L23" s="106">
        <f>L16+(L28-L16)*7/12</f>
        <v>1.0759416666666668</v>
      </c>
      <c r="M23" s="114">
        <f t="shared" si="2"/>
        <v>1500508.2483333335</v>
      </c>
      <c r="N23" s="112" t="s">
        <v>524</v>
      </c>
      <c r="O23" s="104">
        <f t="shared" si="7"/>
        <v>1658600</v>
      </c>
      <c r="P23" s="106"/>
      <c r="Q23" s="107">
        <f t="shared" si="3"/>
        <v>0</v>
      </c>
    </row>
    <row r="24" spans="2:17">
      <c r="B24" s="103" t="s">
        <v>345</v>
      </c>
      <c r="C24" s="104">
        <f t="shared" si="4"/>
        <v>871000</v>
      </c>
      <c r="D24" s="105">
        <f>D16+(D28-D16)*8/12</f>
        <v>1.0417666666666667</v>
      </c>
      <c r="E24" s="110">
        <f t="shared" si="0"/>
        <v>907378.76666666672</v>
      </c>
      <c r="F24" s="112" t="s">
        <v>405</v>
      </c>
      <c r="G24" s="104">
        <f t="shared" si="5"/>
        <v>1135000</v>
      </c>
      <c r="H24" s="105">
        <f>H16+(H28-H16)*8/12</f>
        <v>1.0588333333333333</v>
      </c>
      <c r="I24" s="113">
        <f t="shared" si="1"/>
        <v>1201775.8333333333</v>
      </c>
      <c r="J24" s="111" t="s">
        <v>465</v>
      </c>
      <c r="K24" s="104">
        <f t="shared" si="6"/>
        <v>1399000</v>
      </c>
      <c r="L24" s="106">
        <f>L16+(L28-L16)*8/12</f>
        <v>1.0762333333333334</v>
      </c>
      <c r="M24" s="114">
        <f t="shared" si="2"/>
        <v>1505650.4333333333</v>
      </c>
      <c r="N24" s="112" t="s">
        <v>525</v>
      </c>
      <c r="O24" s="104">
        <f t="shared" si="7"/>
        <v>1663000</v>
      </c>
      <c r="P24" s="106"/>
      <c r="Q24" s="107">
        <f t="shared" si="3"/>
        <v>0</v>
      </c>
    </row>
    <row r="25" spans="2:17">
      <c r="B25" s="103" t="s">
        <v>346</v>
      </c>
      <c r="C25" s="104">
        <f t="shared" si="4"/>
        <v>875400</v>
      </c>
      <c r="D25" s="105">
        <f>D16+(D28-D16)*9/12</f>
        <v>1.0420499999999999</v>
      </c>
      <c r="E25" s="110">
        <f t="shared" si="0"/>
        <v>912210.57</v>
      </c>
      <c r="F25" s="112" t="s">
        <v>406</v>
      </c>
      <c r="G25" s="104">
        <f t="shared" si="5"/>
        <v>1139400</v>
      </c>
      <c r="H25" s="105">
        <f>H16+(H28-H16)*9/12</f>
        <v>1.0591250000000001</v>
      </c>
      <c r="I25" s="113">
        <f t="shared" si="1"/>
        <v>1206767.0250000001</v>
      </c>
      <c r="J25" s="111" t="s">
        <v>466</v>
      </c>
      <c r="K25" s="104">
        <f t="shared" si="6"/>
        <v>1403400</v>
      </c>
      <c r="L25" s="106">
        <f>L16+(L28-L16)*9/12</f>
        <v>1.0765250000000002</v>
      </c>
      <c r="M25" s="114">
        <f t="shared" si="2"/>
        <v>1510795.1850000003</v>
      </c>
      <c r="N25" s="112" t="s">
        <v>526</v>
      </c>
      <c r="O25" s="104">
        <f t="shared" si="7"/>
        <v>1667400</v>
      </c>
      <c r="P25" s="106"/>
      <c r="Q25" s="107">
        <f t="shared" si="3"/>
        <v>0</v>
      </c>
    </row>
    <row r="26" spans="2:17">
      <c r="B26" s="103" t="s">
        <v>347</v>
      </c>
      <c r="C26" s="104">
        <f t="shared" si="4"/>
        <v>879800</v>
      </c>
      <c r="D26" s="105">
        <f>D16+(D28-D16)*10/12</f>
        <v>1.0423333333333333</v>
      </c>
      <c r="E26" s="110">
        <f t="shared" si="0"/>
        <v>917044.8666666667</v>
      </c>
      <c r="F26" s="112" t="s">
        <v>407</v>
      </c>
      <c r="G26" s="104">
        <f t="shared" si="5"/>
        <v>1143800</v>
      </c>
      <c r="H26" s="105">
        <f>H16+(H28-H16)*10/12</f>
        <v>1.0594166666666667</v>
      </c>
      <c r="I26" s="113">
        <f t="shared" si="1"/>
        <v>1211760.7833333334</v>
      </c>
      <c r="J26" s="111" t="s">
        <v>467</v>
      </c>
      <c r="K26" s="104">
        <f t="shared" si="6"/>
        <v>1407800</v>
      </c>
      <c r="L26" s="106">
        <f>L16+(L28-L16)*10/12</f>
        <v>1.0768166666666668</v>
      </c>
      <c r="M26" s="114">
        <f t="shared" si="2"/>
        <v>1515942.5033333334</v>
      </c>
      <c r="N26" s="112" t="s">
        <v>527</v>
      </c>
      <c r="O26" s="104">
        <f t="shared" si="7"/>
        <v>1671800</v>
      </c>
      <c r="P26" s="106"/>
      <c r="Q26" s="107">
        <f t="shared" si="3"/>
        <v>0</v>
      </c>
    </row>
    <row r="27" spans="2:17">
      <c r="B27" s="103" t="s">
        <v>348</v>
      </c>
      <c r="C27" s="104">
        <f t="shared" si="4"/>
        <v>884200</v>
      </c>
      <c r="D27" s="105">
        <f>D16+(D28-D16)*11/12</f>
        <v>1.0426166666666665</v>
      </c>
      <c r="E27" s="110">
        <f t="shared" si="0"/>
        <v>921881.6566666665</v>
      </c>
      <c r="F27" s="112" t="s">
        <v>408</v>
      </c>
      <c r="G27" s="104">
        <f t="shared" si="5"/>
        <v>1148200</v>
      </c>
      <c r="H27" s="105">
        <f>H16+(H28-H16)*11/12</f>
        <v>1.0597083333333335</v>
      </c>
      <c r="I27" s="113">
        <f t="shared" si="1"/>
        <v>1216757.1083333334</v>
      </c>
      <c r="J27" s="111" t="s">
        <v>468</v>
      </c>
      <c r="K27" s="104">
        <f t="shared" si="6"/>
        <v>1412200</v>
      </c>
      <c r="L27" s="106">
        <f>L16+(L28-L16)*11/12</f>
        <v>1.0771083333333336</v>
      </c>
      <c r="M27" s="114">
        <f t="shared" si="2"/>
        <v>1521092.3883333337</v>
      </c>
      <c r="N27" s="112" t="s">
        <v>528</v>
      </c>
      <c r="O27" s="104">
        <f t="shared" si="7"/>
        <v>1676200</v>
      </c>
      <c r="P27" s="106"/>
      <c r="Q27" s="107">
        <f t="shared" si="3"/>
        <v>0</v>
      </c>
    </row>
    <row r="28" spans="2:17">
      <c r="B28" s="233" t="s">
        <v>349</v>
      </c>
      <c r="C28" s="234">
        <f t="shared" si="4"/>
        <v>888600</v>
      </c>
      <c r="D28" s="235">
        <v>1.0428999999999999</v>
      </c>
      <c r="E28" s="236">
        <f t="shared" si="0"/>
        <v>926720.94</v>
      </c>
      <c r="F28" s="237" t="s">
        <v>409</v>
      </c>
      <c r="G28" s="234">
        <f t="shared" si="5"/>
        <v>1152600</v>
      </c>
      <c r="H28" s="235">
        <v>1.06</v>
      </c>
      <c r="I28" s="238">
        <f t="shared" si="1"/>
        <v>1221756</v>
      </c>
      <c r="J28" s="239" t="s">
        <v>469</v>
      </c>
      <c r="K28" s="234">
        <f t="shared" si="6"/>
        <v>1416600</v>
      </c>
      <c r="L28" s="240">
        <f>L4+(L16-L4)*24/12</f>
        <v>1.0774000000000001</v>
      </c>
      <c r="M28" s="241">
        <f t="shared" si="2"/>
        <v>1526244.84</v>
      </c>
      <c r="N28" s="237" t="s">
        <v>529</v>
      </c>
      <c r="O28" s="234">
        <f t="shared" si="7"/>
        <v>1680600</v>
      </c>
      <c r="P28" s="240">
        <f>P4+(P16-P4)*24/12</f>
        <v>1.0949000000000004</v>
      </c>
      <c r="Q28" s="242">
        <f t="shared" si="3"/>
        <v>1840088.9400000006</v>
      </c>
    </row>
    <row r="29" spans="2:17">
      <c r="B29" s="103" t="s">
        <v>350</v>
      </c>
      <c r="C29" s="104">
        <f t="shared" si="4"/>
        <v>893000</v>
      </c>
      <c r="D29" s="105">
        <f>D28+(D40-D28)*1/12</f>
        <v>1.0431833333333334</v>
      </c>
      <c r="E29" s="110">
        <f t="shared" si="0"/>
        <v>931562.71666666667</v>
      </c>
      <c r="F29" s="112" t="s">
        <v>410</v>
      </c>
      <c r="G29" s="104">
        <f t="shared" si="5"/>
        <v>1157000</v>
      </c>
      <c r="H29" s="105">
        <f>H28+(H40-H28)*1/12</f>
        <v>1.0602833333333335</v>
      </c>
      <c r="I29" s="113">
        <f t="shared" si="1"/>
        <v>1226747.8166666669</v>
      </c>
      <c r="J29" s="111" t="s">
        <v>470</v>
      </c>
      <c r="K29" s="104">
        <f t="shared" si="6"/>
        <v>1421000</v>
      </c>
      <c r="L29" s="106">
        <f>L28+(L40-L28)*1/12</f>
        <v>1.0776916666666667</v>
      </c>
      <c r="M29" s="114">
        <f t="shared" si="2"/>
        <v>1531399.8583333334</v>
      </c>
      <c r="N29" s="112" t="s">
        <v>530</v>
      </c>
      <c r="O29" s="104">
        <f t="shared" si="7"/>
        <v>1685000</v>
      </c>
      <c r="P29" s="106"/>
      <c r="Q29" s="107">
        <f t="shared" si="3"/>
        <v>0</v>
      </c>
    </row>
    <row r="30" spans="2:17">
      <c r="B30" s="103" t="s">
        <v>351</v>
      </c>
      <c r="C30" s="104">
        <f t="shared" si="4"/>
        <v>897400</v>
      </c>
      <c r="D30" s="105">
        <f>D28+(D40-D28)*2/12</f>
        <v>1.0434666666666665</v>
      </c>
      <c r="E30" s="110">
        <f t="shared" si="0"/>
        <v>936406.98666666658</v>
      </c>
      <c r="F30" s="112" t="s">
        <v>411</v>
      </c>
      <c r="G30" s="104">
        <f t="shared" si="5"/>
        <v>1161400</v>
      </c>
      <c r="H30" s="105">
        <f>H28+(H40-H28)*2/12</f>
        <v>1.0605666666666667</v>
      </c>
      <c r="I30" s="113">
        <f t="shared" si="1"/>
        <v>1231742.1266666667</v>
      </c>
      <c r="J30" s="111" t="s">
        <v>471</v>
      </c>
      <c r="K30" s="104">
        <f t="shared" si="6"/>
        <v>1425400</v>
      </c>
      <c r="L30" s="106">
        <f>L28+(L40-L28)*2/12</f>
        <v>1.0779833333333335</v>
      </c>
      <c r="M30" s="114">
        <f t="shared" si="2"/>
        <v>1536557.4433333336</v>
      </c>
      <c r="N30" s="112" t="s">
        <v>531</v>
      </c>
      <c r="O30" s="104">
        <f t="shared" si="7"/>
        <v>1689400</v>
      </c>
      <c r="P30" s="106"/>
      <c r="Q30" s="107">
        <f t="shared" si="3"/>
        <v>0</v>
      </c>
    </row>
    <row r="31" spans="2:17">
      <c r="B31" s="103" t="s">
        <v>352</v>
      </c>
      <c r="C31" s="104">
        <f t="shared" si="4"/>
        <v>901800</v>
      </c>
      <c r="D31" s="105">
        <f>D28+(D40-D28)*3/12</f>
        <v>1.04375</v>
      </c>
      <c r="E31" s="110">
        <f t="shared" si="0"/>
        <v>941253.75</v>
      </c>
      <c r="F31" s="112" t="s">
        <v>412</v>
      </c>
      <c r="G31" s="104">
        <f t="shared" si="5"/>
        <v>1165800</v>
      </c>
      <c r="H31" s="105">
        <f>H28+(H40-H28)*3/12</f>
        <v>1.0608500000000001</v>
      </c>
      <c r="I31" s="113">
        <f t="shared" si="1"/>
        <v>1236738.9300000002</v>
      </c>
      <c r="J31" s="111" t="s">
        <v>472</v>
      </c>
      <c r="K31" s="104">
        <f t="shared" si="6"/>
        <v>1429800</v>
      </c>
      <c r="L31" s="106">
        <f>L28+(L40-L28)*3/12</f>
        <v>1.0782750000000001</v>
      </c>
      <c r="M31" s="114">
        <f t="shared" si="2"/>
        <v>1541717.5950000002</v>
      </c>
      <c r="N31" s="112" t="s">
        <v>532</v>
      </c>
      <c r="O31" s="104">
        <f t="shared" si="7"/>
        <v>1693800</v>
      </c>
      <c r="P31" s="106"/>
      <c r="Q31" s="107">
        <f t="shared" si="3"/>
        <v>0</v>
      </c>
    </row>
    <row r="32" spans="2:17">
      <c r="B32" s="103" t="s">
        <v>353</v>
      </c>
      <c r="C32" s="104">
        <f t="shared" si="4"/>
        <v>906200</v>
      </c>
      <c r="D32" s="105">
        <f>D28+(D40-D28)*4/12</f>
        <v>1.0440333333333334</v>
      </c>
      <c r="E32" s="110">
        <f t="shared" si="0"/>
        <v>946103.00666666671</v>
      </c>
      <c r="F32" s="112" t="s">
        <v>413</v>
      </c>
      <c r="G32" s="104">
        <f t="shared" si="5"/>
        <v>1170200</v>
      </c>
      <c r="H32" s="105">
        <f>H28+(H40-H28)*4/12</f>
        <v>1.0611333333333333</v>
      </c>
      <c r="I32" s="113">
        <f t="shared" si="1"/>
        <v>1241738.2266666666</v>
      </c>
      <c r="J32" s="111" t="s">
        <v>473</v>
      </c>
      <c r="K32" s="104">
        <f t="shared" si="6"/>
        <v>1434200</v>
      </c>
      <c r="L32" s="106">
        <f>L28+(L40-L28)*4/12</f>
        <v>1.0785666666666669</v>
      </c>
      <c r="M32" s="114">
        <f t="shared" si="2"/>
        <v>1546880.3133333337</v>
      </c>
      <c r="N32" s="112" t="s">
        <v>533</v>
      </c>
      <c r="O32" s="104">
        <f t="shared" si="7"/>
        <v>1698200</v>
      </c>
      <c r="P32" s="106"/>
      <c r="Q32" s="107">
        <f t="shared" si="3"/>
        <v>0</v>
      </c>
    </row>
    <row r="33" spans="2:17">
      <c r="B33" s="103" t="s">
        <v>354</v>
      </c>
      <c r="C33" s="104">
        <f t="shared" si="4"/>
        <v>910600</v>
      </c>
      <c r="D33" s="105">
        <f>D28+(D40-D28)*5/12</f>
        <v>1.0443166666666666</v>
      </c>
      <c r="E33" s="110">
        <f t="shared" si="0"/>
        <v>950954.7566666666</v>
      </c>
      <c r="F33" s="112" t="s">
        <v>414</v>
      </c>
      <c r="G33" s="104">
        <f t="shared" si="5"/>
        <v>1174600</v>
      </c>
      <c r="H33" s="105">
        <f>H28+(H40-H28)*5/12</f>
        <v>1.0614166666666667</v>
      </c>
      <c r="I33" s="113">
        <f t="shared" si="1"/>
        <v>1246740.0166666666</v>
      </c>
      <c r="J33" s="111" t="s">
        <v>474</v>
      </c>
      <c r="K33" s="104">
        <f t="shared" si="6"/>
        <v>1438600</v>
      </c>
      <c r="L33" s="106">
        <f>L28+(L40-L28)*5/12</f>
        <v>1.0788583333333335</v>
      </c>
      <c r="M33" s="114">
        <f t="shared" si="2"/>
        <v>1552045.5983333336</v>
      </c>
      <c r="N33" s="112" t="s">
        <v>534</v>
      </c>
      <c r="O33" s="104">
        <f t="shared" si="7"/>
        <v>1702600</v>
      </c>
      <c r="P33" s="106"/>
      <c r="Q33" s="107">
        <f t="shared" si="3"/>
        <v>0</v>
      </c>
    </row>
    <row r="34" spans="2:17">
      <c r="B34" s="103" t="s">
        <v>355</v>
      </c>
      <c r="C34" s="104">
        <f t="shared" si="4"/>
        <v>915000</v>
      </c>
      <c r="D34" s="105">
        <f>D28+(D40-D28)*6/12</f>
        <v>1.0446</v>
      </c>
      <c r="E34" s="110">
        <f t="shared" si="0"/>
        <v>955809</v>
      </c>
      <c r="F34" s="112" t="s">
        <v>415</v>
      </c>
      <c r="G34" s="104">
        <f t="shared" si="5"/>
        <v>1179000</v>
      </c>
      <c r="H34" s="105">
        <f>H28+(H40-H28)*6/12</f>
        <v>1.0617000000000001</v>
      </c>
      <c r="I34" s="113">
        <f t="shared" si="1"/>
        <v>1251744.3</v>
      </c>
      <c r="J34" s="111" t="s">
        <v>475</v>
      </c>
      <c r="K34" s="104">
        <f t="shared" si="6"/>
        <v>1443000</v>
      </c>
      <c r="L34" s="106">
        <f>L28+(L40-L28)*6/12</f>
        <v>1.0791500000000003</v>
      </c>
      <c r="M34" s="114">
        <f t="shared" si="2"/>
        <v>1557213.4500000004</v>
      </c>
      <c r="N34" s="112" t="s">
        <v>535</v>
      </c>
      <c r="O34" s="104">
        <f t="shared" si="7"/>
        <v>1707000</v>
      </c>
      <c r="P34" s="106"/>
      <c r="Q34" s="107">
        <f t="shared" si="3"/>
        <v>0</v>
      </c>
    </row>
    <row r="35" spans="2:17">
      <c r="B35" s="103" t="s">
        <v>356</v>
      </c>
      <c r="C35" s="104">
        <f t="shared" si="4"/>
        <v>919400</v>
      </c>
      <c r="D35" s="105">
        <f>D28+(D40-D28)*7/12</f>
        <v>1.0448833333333334</v>
      </c>
      <c r="E35" s="110">
        <f t="shared" si="0"/>
        <v>960665.73666666669</v>
      </c>
      <c r="F35" s="112" t="s">
        <v>416</v>
      </c>
      <c r="G35" s="104">
        <f t="shared" si="5"/>
        <v>1183400</v>
      </c>
      <c r="H35" s="105">
        <f>H28+(H40-H28)*7/12</f>
        <v>1.0619833333333333</v>
      </c>
      <c r="I35" s="113">
        <f t="shared" si="1"/>
        <v>1256751.0766666667</v>
      </c>
      <c r="J35" s="111" t="s">
        <v>476</v>
      </c>
      <c r="K35" s="104">
        <f t="shared" si="6"/>
        <v>1447400</v>
      </c>
      <c r="L35" s="106">
        <f>L28+(L40-L28)*7/12</f>
        <v>1.0794416666666669</v>
      </c>
      <c r="M35" s="114">
        <f t="shared" si="2"/>
        <v>1562383.8683333336</v>
      </c>
      <c r="N35" s="112" t="s">
        <v>536</v>
      </c>
      <c r="O35" s="104">
        <f t="shared" si="7"/>
        <v>1711400</v>
      </c>
      <c r="P35" s="106"/>
      <c r="Q35" s="107">
        <f t="shared" si="3"/>
        <v>0</v>
      </c>
    </row>
    <row r="36" spans="2:17">
      <c r="B36" s="103" t="s">
        <v>357</v>
      </c>
      <c r="C36" s="104">
        <f t="shared" si="4"/>
        <v>923800</v>
      </c>
      <c r="D36" s="105">
        <f>D28+(D40-D28)*8/12</f>
        <v>1.0451666666666666</v>
      </c>
      <c r="E36" s="110">
        <f t="shared" si="0"/>
        <v>965524.96666666656</v>
      </c>
      <c r="F36" s="112" t="s">
        <v>417</v>
      </c>
      <c r="G36" s="104">
        <f t="shared" si="5"/>
        <v>1187800</v>
      </c>
      <c r="H36" s="105">
        <f>H28+(H40-H28)*8/12</f>
        <v>1.0622666666666667</v>
      </c>
      <c r="I36" s="113">
        <f t="shared" si="1"/>
        <v>1261760.3466666667</v>
      </c>
      <c r="J36" s="111" t="s">
        <v>477</v>
      </c>
      <c r="K36" s="104">
        <f t="shared" si="6"/>
        <v>1451800</v>
      </c>
      <c r="L36" s="106">
        <f>L28+(L40-L28)*8/12</f>
        <v>1.0797333333333334</v>
      </c>
      <c r="M36" s="114">
        <f t="shared" si="2"/>
        <v>1567556.8533333335</v>
      </c>
      <c r="N36" s="112" t="s">
        <v>537</v>
      </c>
      <c r="O36" s="104">
        <f t="shared" si="7"/>
        <v>1715800</v>
      </c>
      <c r="P36" s="106"/>
      <c r="Q36" s="107">
        <f t="shared" si="3"/>
        <v>0</v>
      </c>
    </row>
    <row r="37" spans="2:17">
      <c r="B37" s="103" t="s">
        <v>358</v>
      </c>
      <c r="C37" s="104">
        <f t="shared" si="4"/>
        <v>928200</v>
      </c>
      <c r="D37" s="105">
        <f>D28+(D40-D28)*9/12</f>
        <v>1.04545</v>
      </c>
      <c r="E37" s="110">
        <f t="shared" si="0"/>
        <v>970386.69</v>
      </c>
      <c r="F37" s="112" t="s">
        <v>418</v>
      </c>
      <c r="G37" s="104">
        <f t="shared" si="5"/>
        <v>1192200</v>
      </c>
      <c r="H37" s="105">
        <f>H28+(H40-H28)*9/12</f>
        <v>1.0625499999999999</v>
      </c>
      <c r="I37" s="113">
        <f t="shared" si="1"/>
        <v>1266772.1099999999</v>
      </c>
      <c r="J37" s="111" t="s">
        <v>478</v>
      </c>
      <c r="K37" s="104">
        <f t="shared" si="6"/>
        <v>1456200</v>
      </c>
      <c r="L37" s="106">
        <f>L28+(L40-L28)*9/12</f>
        <v>1.0800250000000002</v>
      </c>
      <c r="M37" s="114">
        <f t="shared" si="2"/>
        <v>1572732.4050000003</v>
      </c>
      <c r="N37" s="112" t="s">
        <v>538</v>
      </c>
      <c r="O37" s="104">
        <f t="shared" si="7"/>
        <v>1720200</v>
      </c>
      <c r="P37" s="106"/>
      <c r="Q37" s="107">
        <f t="shared" si="3"/>
        <v>0</v>
      </c>
    </row>
    <row r="38" spans="2:17">
      <c r="B38" s="103" t="s">
        <v>359</v>
      </c>
      <c r="C38" s="104">
        <f t="shared" si="4"/>
        <v>932600</v>
      </c>
      <c r="D38" s="105">
        <f>D28+(D40-D28)*10/12</f>
        <v>1.0457333333333334</v>
      </c>
      <c r="E38" s="110">
        <f t="shared" si="0"/>
        <v>975250.90666666673</v>
      </c>
      <c r="F38" s="112" t="s">
        <v>419</v>
      </c>
      <c r="G38" s="104">
        <f t="shared" si="5"/>
        <v>1196600</v>
      </c>
      <c r="H38" s="105">
        <f>H28+(H40-H28)*10/12</f>
        <v>1.0628333333333333</v>
      </c>
      <c r="I38" s="113">
        <f t="shared" si="1"/>
        <v>1271786.3666666667</v>
      </c>
      <c r="J38" s="111" t="s">
        <v>479</v>
      </c>
      <c r="K38" s="104">
        <f t="shared" si="6"/>
        <v>1460600</v>
      </c>
      <c r="L38" s="106">
        <f>L28+(L40-L28)*10/12</f>
        <v>1.0803166666666668</v>
      </c>
      <c r="M38" s="114">
        <f t="shared" si="2"/>
        <v>1577910.5233333334</v>
      </c>
      <c r="N38" s="112" t="s">
        <v>539</v>
      </c>
      <c r="O38" s="104">
        <f t="shared" si="7"/>
        <v>1724600</v>
      </c>
      <c r="P38" s="106"/>
      <c r="Q38" s="107">
        <f t="shared" si="3"/>
        <v>0</v>
      </c>
    </row>
    <row r="39" spans="2:17">
      <c r="B39" s="103" t="s">
        <v>360</v>
      </c>
      <c r="C39" s="104">
        <f t="shared" si="4"/>
        <v>937000</v>
      </c>
      <c r="D39" s="105">
        <f>D28+(D40-D28)*11/12</f>
        <v>1.0460166666666666</v>
      </c>
      <c r="E39" s="110">
        <f t="shared" si="0"/>
        <v>980117.61666666658</v>
      </c>
      <c r="F39" s="112" t="s">
        <v>420</v>
      </c>
      <c r="G39" s="104">
        <f t="shared" si="5"/>
        <v>1201000</v>
      </c>
      <c r="H39" s="105">
        <f>H28+(H40-H28)*11/12</f>
        <v>1.0631166666666665</v>
      </c>
      <c r="I39" s="113">
        <f t="shared" si="1"/>
        <v>1276803.1166666665</v>
      </c>
      <c r="J39" s="111" t="s">
        <v>480</v>
      </c>
      <c r="K39" s="104">
        <f t="shared" si="6"/>
        <v>1465000</v>
      </c>
      <c r="L39" s="106">
        <f>L28+(L40-L28)*11/12</f>
        <v>1.0806083333333336</v>
      </c>
      <c r="M39" s="114">
        <f t="shared" si="2"/>
        <v>1583091.2083333337</v>
      </c>
      <c r="N39" s="112" t="s">
        <v>540</v>
      </c>
      <c r="O39" s="104">
        <f t="shared" si="7"/>
        <v>1729000</v>
      </c>
      <c r="P39" s="106"/>
      <c r="Q39" s="107">
        <f t="shared" si="3"/>
        <v>0</v>
      </c>
    </row>
    <row r="40" spans="2:17">
      <c r="B40" s="233" t="s">
        <v>361</v>
      </c>
      <c r="C40" s="234">
        <f t="shared" si="4"/>
        <v>941400</v>
      </c>
      <c r="D40" s="235">
        <v>1.0463</v>
      </c>
      <c r="E40" s="236">
        <f t="shared" si="0"/>
        <v>984986.82000000007</v>
      </c>
      <c r="F40" s="237" t="s">
        <v>421</v>
      </c>
      <c r="G40" s="234">
        <f t="shared" si="5"/>
        <v>1205400</v>
      </c>
      <c r="H40" s="235">
        <v>1.0633999999999999</v>
      </c>
      <c r="I40" s="238">
        <f t="shared" si="1"/>
        <v>1281822.3599999999</v>
      </c>
      <c r="J40" s="239" t="s">
        <v>481</v>
      </c>
      <c r="K40" s="234">
        <f t="shared" si="6"/>
        <v>1469400</v>
      </c>
      <c r="L40" s="240">
        <f>L16+(L28-L16)*24/12</f>
        <v>1.0809000000000002</v>
      </c>
      <c r="M40" s="241">
        <f t="shared" si="2"/>
        <v>1588274.4600000002</v>
      </c>
      <c r="N40" s="237" t="s">
        <v>541</v>
      </c>
      <c r="O40" s="234">
        <f t="shared" si="7"/>
        <v>1733400</v>
      </c>
      <c r="P40" s="240">
        <f>P16+(P28-P16)*24/12</f>
        <v>1.0984000000000005</v>
      </c>
      <c r="Q40" s="242">
        <f t="shared" si="3"/>
        <v>1903966.5600000008</v>
      </c>
    </row>
    <row r="41" spans="2:17">
      <c r="B41" s="103" t="s">
        <v>362</v>
      </c>
      <c r="C41" s="104">
        <f t="shared" si="4"/>
        <v>945800</v>
      </c>
      <c r="D41" s="105">
        <f>D40+(D52-D40)*1/12</f>
        <v>1.0465833333333334</v>
      </c>
      <c r="E41" s="110">
        <f t="shared" si="0"/>
        <v>989858.51666666672</v>
      </c>
      <c r="F41" s="112" t="s">
        <v>422</v>
      </c>
      <c r="G41" s="104">
        <f t="shared" si="5"/>
        <v>1209800</v>
      </c>
      <c r="H41" s="105">
        <f>H40+(H52-H40)*1/12</f>
        <v>1.0636916666666665</v>
      </c>
      <c r="I41" s="113">
        <f t="shared" si="1"/>
        <v>1286854.178333333</v>
      </c>
      <c r="J41" s="111" t="s">
        <v>482</v>
      </c>
      <c r="K41" s="104">
        <f t="shared" si="6"/>
        <v>1473800</v>
      </c>
      <c r="L41" s="106">
        <f>L40+(L52-L40)*1/12</f>
        <v>1.0811916666666668</v>
      </c>
      <c r="M41" s="114">
        <f t="shared" si="2"/>
        <v>1593460.2783333336</v>
      </c>
      <c r="N41" s="112" t="s">
        <v>542</v>
      </c>
      <c r="O41" s="104">
        <f t="shared" si="7"/>
        <v>1737800</v>
      </c>
      <c r="P41" s="106"/>
      <c r="Q41" s="107">
        <f t="shared" si="3"/>
        <v>0</v>
      </c>
    </row>
    <row r="42" spans="2:17">
      <c r="B42" s="103" t="s">
        <v>363</v>
      </c>
      <c r="C42" s="104">
        <f t="shared" si="4"/>
        <v>950200</v>
      </c>
      <c r="D42" s="105">
        <f>D40+(D52-D40)*2/12</f>
        <v>1.0468666666666666</v>
      </c>
      <c r="E42" s="110">
        <f t="shared" si="0"/>
        <v>994732.70666666667</v>
      </c>
      <c r="F42" s="112" t="s">
        <v>423</v>
      </c>
      <c r="G42" s="104">
        <f t="shared" si="5"/>
        <v>1214200</v>
      </c>
      <c r="H42" s="105">
        <f>H40+(H52-H40)*2/12</f>
        <v>1.0639833333333333</v>
      </c>
      <c r="I42" s="113">
        <f t="shared" si="1"/>
        <v>1291888.5633333332</v>
      </c>
      <c r="J42" s="111" t="s">
        <v>483</v>
      </c>
      <c r="K42" s="104">
        <f t="shared" si="6"/>
        <v>1478200</v>
      </c>
      <c r="L42" s="106">
        <f>L40+(L52-L40)*2/12</f>
        <v>1.0814833333333336</v>
      </c>
      <c r="M42" s="114">
        <f t="shared" si="2"/>
        <v>1598648.6633333338</v>
      </c>
      <c r="N42" s="112" t="s">
        <v>543</v>
      </c>
      <c r="O42" s="104">
        <f t="shared" si="7"/>
        <v>1742200</v>
      </c>
      <c r="P42" s="106"/>
      <c r="Q42" s="107">
        <f t="shared" si="3"/>
        <v>0</v>
      </c>
    </row>
    <row r="43" spans="2:17">
      <c r="B43" s="103" t="s">
        <v>364</v>
      </c>
      <c r="C43" s="104">
        <f t="shared" si="4"/>
        <v>954600</v>
      </c>
      <c r="D43" s="105">
        <f>D40+(D52-D40)*3/12</f>
        <v>1.04715</v>
      </c>
      <c r="E43" s="110">
        <f t="shared" si="0"/>
        <v>999609.39</v>
      </c>
      <c r="F43" s="112" t="s">
        <v>424</v>
      </c>
      <c r="G43" s="104">
        <f t="shared" si="5"/>
        <v>1218600</v>
      </c>
      <c r="H43" s="105">
        <f>H40+(H52-H40)*3/12</f>
        <v>1.0642749999999999</v>
      </c>
      <c r="I43" s="113">
        <f t="shared" si="1"/>
        <v>1296925.5149999999</v>
      </c>
      <c r="J43" s="111" t="s">
        <v>484</v>
      </c>
      <c r="K43" s="104">
        <f t="shared" si="6"/>
        <v>1482600</v>
      </c>
      <c r="L43" s="106">
        <f>L40+(L52-L40)*3/12</f>
        <v>1.0817750000000002</v>
      </c>
      <c r="M43" s="114">
        <f t="shared" si="2"/>
        <v>1603839.6150000002</v>
      </c>
      <c r="N43" s="112" t="s">
        <v>544</v>
      </c>
      <c r="O43" s="104">
        <f t="shared" si="7"/>
        <v>1746600</v>
      </c>
      <c r="P43" s="106"/>
      <c r="Q43" s="107">
        <f t="shared" si="3"/>
        <v>0</v>
      </c>
    </row>
    <row r="44" spans="2:17">
      <c r="B44" s="103" t="s">
        <v>365</v>
      </c>
      <c r="C44" s="104">
        <f t="shared" si="4"/>
        <v>959000</v>
      </c>
      <c r="D44" s="105">
        <f>D40+(D52-D40)*4/12</f>
        <v>1.0474333333333334</v>
      </c>
      <c r="E44" s="110">
        <f t="shared" si="0"/>
        <v>1004488.5666666668</v>
      </c>
      <c r="F44" s="112" t="s">
        <v>425</v>
      </c>
      <c r="G44" s="104">
        <f t="shared" si="5"/>
        <v>1223000</v>
      </c>
      <c r="H44" s="105">
        <f>H40+(H52-H40)*4/12</f>
        <v>1.0645666666666667</v>
      </c>
      <c r="I44" s="113">
        <f t="shared" si="1"/>
        <v>1301965.0333333334</v>
      </c>
      <c r="J44" s="111" t="s">
        <v>485</v>
      </c>
      <c r="K44" s="104">
        <f t="shared" si="6"/>
        <v>1487000</v>
      </c>
      <c r="L44" s="106">
        <f>L40+(L52-L43)*4/12</f>
        <v>1.0817750000000002</v>
      </c>
      <c r="M44" s="114">
        <f t="shared" si="2"/>
        <v>1608599.4250000003</v>
      </c>
      <c r="N44" s="112" t="s">
        <v>545</v>
      </c>
      <c r="O44" s="104">
        <f t="shared" si="7"/>
        <v>1751000</v>
      </c>
      <c r="P44" s="106"/>
      <c r="Q44" s="107">
        <f t="shared" si="3"/>
        <v>0</v>
      </c>
    </row>
    <row r="45" spans="2:17">
      <c r="B45" s="103" t="s">
        <v>366</v>
      </c>
      <c r="C45" s="104">
        <f t="shared" si="4"/>
        <v>963400</v>
      </c>
      <c r="D45" s="105">
        <f>D40+(D52-D40)*5/12</f>
        <v>1.0477166666666666</v>
      </c>
      <c r="E45" s="110">
        <f t="shared" si="0"/>
        <v>1009370.2366666666</v>
      </c>
      <c r="F45" s="112" t="s">
        <v>426</v>
      </c>
      <c r="G45" s="104">
        <f t="shared" si="5"/>
        <v>1227400</v>
      </c>
      <c r="H45" s="105">
        <f>H40+(H52-H40)*5/12</f>
        <v>1.0648583333333332</v>
      </c>
      <c r="I45" s="113">
        <f t="shared" si="1"/>
        <v>1307007.1183333332</v>
      </c>
      <c r="J45" s="111" t="s">
        <v>486</v>
      </c>
      <c r="K45" s="104">
        <f t="shared" si="6"/>
        <v>1491400</v>
      </c>
      <c r="L45" s="106">
        <f>L40+(L52-L40)*5/12</f>
        <v>1.0823583333333335</v>
      </c>
      <c r="M45" s="114">
        <f t="shared" si="2"/>
        <v>1614229.2183333337</v>
      </c>
      <c r="N45" s="112" t="s">
        <v>546</v>
      </c>
      <c r="O45" s="104">
        <f t="shared" si="7"/>
        <v>1755400</v>
      </c>
      <c r="P45" s="106"/>
      <c r="Q45" s="107">
        <f t="shared" si="3"/>
        <v>0</v>
      </c>
    </row>
    <row r="46" spans="2:17">
      <c r="B46" s="103" t="s">
        <v>367</v>
      </c>
      <c r="C46" s="104">
        <f t="shared" si="4"/>
        <v>967800</v>
      </c>
      <c r="D46" s="105">
        <f>D40+(D52-D40)*6/12</f>
        <v>1.048</v>
      </c>
      <c r="E46" s="110">
        <f t="shared" si="0"/>
        <v>1014254.4</v>
      </c>
      <c r="F46" s="112" t="s">
        <v>427</v>
      </c>
      <c r="G46" s="104">
        <f t="shared" si="5"/>
        <v>1231800</v>
      </c>
      <c r="H46" s="105">
        <f>H40+(H52-H40)*6/12</f>
        <v>1.06515</v>
      </c>
      <c r="I46" s="113">
        <f t="shared" si="1"/>
        <v>1312051.77</v>
      </c>
      <c r="J46" s="111" t="s">
        <v>487</v>
      </c>
      <c r="K46" s="104">
        <f t="shared" si="6"/>
        <v>1495800</v>
      </c>
      <c r="L46" s="106">
        <f>L40+(L52-L40)*6/12</f>
        <v>1.0826500000000001</v>
      </c>
      <c r="M46" s="114">
        <f t="shared" si="2"/>
        <v>1619427.87</v>
      </c>
      <c r="N46" s="112" t="s">
        <v>547</v>
      </c>
      <c r="O46" s="104">
        <f t="shared" si="7"/>
        <v>1759800</v>
      </c>
      <c r="P46" s="106"/>
      <c r="Q46" s="107">
        <f t="shared" si="3"/>
        <v>0</v>
      </c>
    </row>
    <row r="47" spans="2:17">
      <c r="B47" s="103" t="s">
        <v>368</v>
      </c>
      <c r="C47" s="104">
        <f t="shared" si="4"/>
        <v>972200</v>
      </c>
      <c r="D47" s="105">
        <f>D40+(D52-D40)*7/12</f>
        <v>1.0482833333333335</v>
      </c>
      <c r="E47" s="110">
        <f t="shared" si="0"/>
        <v>1019141.0566666668</v>
      </c>
      <c r="F47" s="112" t="s">
        <v>428</v>
      </c>
      <c r="G47" s="104">
        <f t="shared" si="5"/>
        <v>1236200</v>
      </c>
      <c r="H47" s="105">
        <f>H40+(H52-H40)*7/12</f>
        <v>1.0654416666666666</v>
      </c>
      <c r="I47" s="113">
        <f t="shared" si="1"/>
        <v>1317098.9883333333</v>
      </c>
      <c r="J47" s="111" t="s">
        <v>488</v>
      </c>
      <c r="K47" s="104">
        <f t="shared" si="6"/>
        <v>1500200</v>
      </c>
      <c r="L47" s="106">
        <f>L40+(L52-L40)*7/12</f>
        <v>1.0829416666666669</v>
      </c>
      <c r="M47" s="114">
        <f t="shared" si="2"/>
        <v>1624629.0883333336</v>
      </c>
      <c r="N47" s="112" t="s">
        <v>548</v>
      </c>
      <c r="O47" s="104">
        <f t="shared" si="7"/>
        <v>1764200</v>
      </c>
      <c r="P47" s="106"/>
      <c r="Q47" s="107">
        <f t="shared" si="3"/>
        <v>0</v>
      </c>
    </row>
    <row r="48" spans="2:17">
      <c r="B48" s="103" t="s">
        <v>369</v>
      </c>
      <c r="C48" s="104">
        <f t="shared" si="4"/>
        <v>976600</v>
      </c>
      <c r="D48" s="105">
        <f>D40+(D52-D40)*8/12</f>
        <v>1.0485666666666666</v>
      </c>
      <c r="E48" s="110">
        <f t="shared" si="0"/>
        <v>1024030.2066666667</v>
      </c>
      <c r="F48" s="112" t="s">
        <v>429</v>
      </c>
      <c r="G48" s="104">
        <f t="shared" si="5"/>
        <v>1240600</v>
      </c>
      <c r="H48" s="105">
        <f>H40+(H52-H40)*8/12</f>
        <v>1.0657333333333332</v>
      </c>
      <c r="I48" s="113">
        <f t="shared" si="1"/>
        <v>1322148.7733333332</v>
      </c>
      <c r="J48" s="111" t="s">
        <v>489</v>
      </c>
      <c r="K48" s="104">
        <f t="shared" si="6"/>
        <v>1504600</v>
      </c>
      <c r="L48" s="106">
        <f>L40+(L52-L40)*8/12</f>
        <v>1.0832333333333335</v>
      </c>
      <c r="M48" s="114">
        <f t="shared" si="2"/>
        <v>1629832.8733333335</v>
      </c>
      <c r="N48" s="112" t="s">
        <v>549</v>
      </c>
      <c r="O48" s="104">
        <f t="shared" si="7"/>
        <v>1768600</v>
      </c>
      <c r="P48" s="106"/>
      <c r="Q48" s="107">
        <f t="shared" si="3"/>
        <v>0</v>
      </c>
    </row>
    <row r="49" spans="2:17">
      <c r="B49" s="103" t="s">
        <v>370</v>
      </c>
      <c r="C49" s="104">
        <f t="shared" si="4"/>
        <v>981000</v>
      </c>
      <c r="D49" s="105">
        <f>D40+(D52-D40)*9/12</f>
        <v>1.0488500000000001</v>
      </c>
      <c r="E49" s="110">
        <f t="shared" si="0"/>
        <v>1028921.8500000001</v>
      </c>
      <c r="F49" s="112" t="s">
        <v>430</v>
      </c>
      <c r="G49" s="104">
        <f t="shared" si="5"/>
        <v>1245000</v>
      </c>
      <c r="H49" s="105">
        <f>H40+(H52-H40)*9/12</f>
        <v>1.066025</v>
      </c>
      <c r="I49" s="113">
        <f t="shared" si="1"/>
        <v>1327201.125</v>
      </c>
      <c r="J49" s="111" t="s">
        <v>490</v>
      </c>
      <c r="K49" s="104">
        <f t="shared" si="6"/>
        <v>1509000</v>
      </c>
      <c r="L49" s="106">
        <f>L40+(L52-L40)*9/12</f>
        <v>1.0835250000000003</v>
      </c>
      <c r="M49" s="114">
        <f t="shared" si="2"/>
        <v>1635039.2250000006</v>
      </c>
      <c r="N49" s="112" t="s">
        <v>550</v>
      </c>
      <c r="O49" s="104">
        <f t="shared" si="7"/>
        <v>1773000</v>
      </c>
      <c r="P49" s="106"/>
      <c r="Q49" s="107">
        <f t="shared" si="3"/>
        <v>0</v>
      </c>
    </row>
    <row r="50" spans="2:17">
      <c r="B50" s="103" t="s">
        <v>371</v>
      </c>
      <c r="C50" s="104">
        <f t="shared" si="4"/>
        <v>985400</v>
      </c>
      <c r="D50" s="105">
        <f>D40+(D52-D40)*10/12</f>
        <v>1.0491333333333335</v>
      </c>
      <c r="E50" s="110">
        <f t="shared" si="0"/>
        <v>1033815.9866666668</v>
      </c>
      <c r="F50" s="112" t="s">
        <v>431</v>
      </c>
      <c r="G50" s="104">
        <f t="shared" si="5"/>
        <v>1249400</v>
      </c>
      <c r="H50" s="105">
        <f>H40+(H52-H40)*10/12</f>
        <v>1.0663166666666666</v>
      </c>
      <c r="I50" s="113">
        <f t="shared" si="1"/>
        <v>1332256.0433333332</v>
      </c>
      <c r="J50" s="111" t="s">
        <v>491</v>
      </c>
      <c r="K50" s="104">
        <f t="shared" si="6"/>
        <v>1513400</v>
      </c>
      <c r="L50" s="106">
        <f>L40+(L52-L40)*10/12</f>
        <v>1.0838166666666669</v>
      </c>
      <c r="M50" s="114">
        <f t="shared" si="2"/>
        <v>1640248.1433333335</v>
      </c>
      <c r="N50" s="112" t="s">
        <v>551</v>
      </c>
      <c r="O50" s="104">
        <f t="shared" si="7"/>
        <v>1777400</v>
      </c>
      <c r="P50" s="106"/>
      <c r="Q50" s="107">
        <f t="shared" si="3"/>
        <v>0</v>
      </c>
    </row>
    <row r="51" spans="2:17">
      <c r="B51" s="103" t="s">
        <v>372</v>
      </c>
      <c r="C51" s="104">
        <f t="shared" si="4"/>
        <v>989800</v>
      </c>
      <c r="D51" s="105">
        <f>D40+(D52-D40)*11/12</f>
        <v>1.0494166666666667</v>
      </c>
      <c r="E51" s="110">
        <f t="shared" si="0"/>
        <v>1038712.6166666667</v>
      </c>
      <c r="F51" s="112" t="s">
        <v>432</v>
      </c>
      <c r="G51" s="104">
        <f t="shared" si="5"/>
        <v>1253800</v>
      </c>
      <c r="H51" s="105">
        <f>H40+(H52-H40)*11/12</f>
        <v>1.0666083333333334</v>
      </c>
      <c r="I51" s="113">
        <f t="shared" si="1"/>
        <v>1337313.5283333333</v>
      </c>
      <c r="J51" s="111" t="s">
        <v>492</v>
      </c>
      <c r="K51" s="104">
        <f t="shared" si="6"/>
        <v>1517800</v>
      </c>
      <c r="L51" s="106">
        <f>L40+(L52-L40)*11/12</f>
        <v>1.0841083333333337</v>
      </c>
      <c r="M51" s="114">
        <f t="shared" si="2"/>
        <v>1645459.6283333339</v>
      </c>
      <c r="N51" s="112" t="s">
        <v>552</v>
      </c>
      <c r="O51" s="104">
        <f t="shared" si="7"/>
        <v>1781800</v>
      </c>
      <c r="P51" s="106"/>
      <c r="Q51" s="107">
        <f t="shared" si="3"/>
        <v>0</v>
      </c>
    </row>
    <row r="52" spans="2:17">
      <c r="B52" s="233" t="s">
        <v>373</v>
      </c>
      <c r="C52" s="234">
        <f t="shared" si="4"/>
        <v>994200</v>
      </c>
      <c r="D52" s="235">
        <v>1.0497000000000001</v>
      </c>
      <c r="E52" s="236">
        <f t="shared" si="0"/>
        <v>1043611.7400000001</v>
      </c>
      <c r="F52" s="237" t="s">
        <v>433</v>
      </c>
      <c r="G52" s="234">
        <f t="shared" si="5"/>
        <v>1258200</v>
      </c>
      <c r="H52" s="235">
        <v>1.0669</v>
      </c>
      <c r="I52" s="238">
        <f t="shared" si="1"/>
        <v>1342373.5799999998</v>
      </c>
      <c r="J52" s="239" t="s">
        <v>493</v>
      </c>
      <c r="K52" s="234">
        <f t="shared" si="6"/>
        <v>1522200</v>
      </c>
      <c r="L52" s="240">
        <f>L28+(L40-L28)*24/12</f>
        <v>1.0844000000000003</v>
      </c>
      <c r="M52" s="241">
        <f t="shared" si="2"/>
        <v>1650673.6800000004</v>
      </c>
      <c r="N52" s="237" t="s">
        <v>553</v>
      </c>
      <c r="O52" s="234">
        <f t="shared" si="7"/>
        <v>1786200</v>
      </c>
      <c r="P52" s="240">
        <f>P28+(P40-P28)*24/12</f>
        <v>1.1019000000000005</v>
      </c>
      <c r="Q52" s="242">
        <f t="shared" si="3"/>
        <v>1968213.780000001</v>
      </c>
    </row>
    <row r="53" spans="2:17">
      <c r="B53" s="103" t="s">
        <v>374</v>
      </c>
      <c r="C53" s="104">
        <f t="shared" si="4"/>
        <v>998600</v>
      </c>
      <c r="D53" s="105">
        <f>D52+(H4-D52)*1/12</f>
        <v>1.0499833333333335</v>
      </c>
      <c r="E53" s="110">
        <f t="shared" si="0"/>
        <v>1048513.3566666668</v>
      </c>
      <c r="F53" s="112" t="s">
        <v>434</v>
      </c>
      <c r="G53" s="104">
        <f t="shared" si="5"/>
        <v>1262600</v>
      </c>
      <c r="H53" s="105">
        <f>H52+(L4-H52)*1/12</f>
        <v>1.0671916666666665</v>
      </c>
      <c r="I53" s="113">
        <f t="shared" si="1"/>
        <v>1347436.1983333332</v>
      </c>
      <c r="J53" s="111" t="s">
        <v>494</v>
      </c>
      <c r="K53" s="104">
        <f t="shared" si="6"/>
        <v>1526600</v>
      </c>
      <c r="L53" s="106"/>
      <c r="M53" s="114">
        <f t="shared" si="2"/>
        <v>0</v>
      </c>
      <c r="N53" s="112" t="s">
        <v>554</v>
      </c>
      <c r="O53" s="104">
        <f t="shared" si="7"/>
        <v>1790600</v>
      </c>
      <c r="P53" s="106"/>
      <c r="Q53" s="107">
        <f t="shared" si="3"/>
        <v>0</v>
      </c>
    </row>
    <row r="54" spans="2:17">
      <c r="B54" s="103" t="s">
        <v>375</v>
      </c>
      <c r="C54" s="104">
        <f t="shared" si="4"/>
        <v>1003000</v>
      </c>
      <c r="D54" s="105">
        <f>D52+(H4-D52)*2/12</f>
        <v>1.0502666666666667</v>
      </c>
      <c r="E54" s="110">
        <f t="shared" si="0"/>
        <v>1053417.4666666668</v>
      </c>
      <c r="F54" s="112" t="s">
        <v>435</v>
      </c>
      <c r="G54" s="104">
        <f t="shared" si="5"/>
        <v>1267000</v>
      </c>
      <c r="H54" s="105">
        <f>H52+(L4-H52)*2/12</f>
        <v>1.0674833333333333</v>
      </c>
      <c r="I54" s="113">
        <f t="shared" si="1"/>
        <v>1352501.3833333333</v>
      </c>
      <c r="J54" s="111" t="s">
        <v>495</v>
      </c>
      <c r="K54" s="104">
        <f t="shared" si="6"/>
        <v>1531000</v>
      </c>
      <c r="L54" s="106"/>
      <c r="M54" s="114">
        <f t="shared" si="2"/>
        <v>0</v>
      </c>
      <c r="N54" s="112" t="s">
        <v>555</v>
      </c>
      <c r="O54" s="104">
        <f t="shared" si="7"/>
        <v>1795000</v>
      </c>
      <c r="P54" s="106"/>
      <c r="Q54" s="107">
        <f t="shared" si="3"/>
        <v>0</v>
      </c>
    </row>
    <row r="55" spans="2:17">
      <c r="B55" s="103" t="s">
        <v>376</v>
      </c>
      <c r="C55" s="104">
        <f t="shared" si="4"/>
        <v>1007400</v>
      </c>
      <c r="D55" s="105">
        <f>D52+(H4-D52)*3/12</f>
        <v>1.0505500000000001</v>
      </c>
      <c r="E55" s="110">
        <f t="shared" si="0"/>
        <v>1058324.07</v>
      </c>
      <c r="F55" s="112" t="s">
        <v>436</v>
      </c>
      <c r="G55" s="104">
        <f t="shared" si="5"/>
        <v>1271400</v>
      </c>
      <c r="H55" s="105">
        <f>H52+(L4-H52)*3/12</f>
        <v>1.0677749999999999</v>
      </c>
      <c r="I55" s="113">
        <f t="shared" si="1"/>
        <v>1357569.135</v>
      </c>
      <c r="J55" s="111" t="s">
        <v>496</v>
      </c>
      <c r="K55" s="104">
        <f t="shared" si="6"/>
        <v>1535400</v>
      </c>
      <c r="L55" s="106"/>
      <c r="M55" s="114">
        <f t="shared" si="2"/>
        <v>0</v>
      </c>
      <c r="N55" s="112" t="s">
        <v>556</v>
      </c>
      <c r="O55" s="104">
        <f t="shared" si="7"/>
        <v>1799400</v>
      </c>
      <c r="P55" s="106"/>
      <c r="Q55" s="107">
        <f t="shared" si="3"/>
        <v>0</v>
      </c>
    </row>
    <row r="56" spans="2:17">
      <c r="B56" s="103" t="s">
        <v>377</v>
      </c>
      <c r="C56" s="104">
        <f t="shared" si="4"/>
        <v>1011800</v>
      </c>
      <c r="D56" s="105">
        <f>D52+(H4-D52)*4/12</f>
        <v>1.0508333333333333</v>
      </c>
      <c r="E56" s="110">
        <f t="shared" si="0"/>
        <v>1063233.1666666665</v>
      </c>
      <c r="F56" s="112" t="s">
        <v>437</v>
      </c>
      <c r="G56" s="104">
        <f t="shared" si="5"/>
        <v>1275800</v>
      </c>
      <c r="H56" s="105">
        <f>H52+(L4-H52)*4/12</f>
        <v>1.0680666666666667</v>
      </c>
      <c r="I56" s="113">
        <f t="shared" si="1"/>
        <v>1362639.4533333334</v>
      </c>
      <c r="J56" s="111" t="s">
        <v>497</v>
      </c>
      <c r="K56" s="104">
        <f t="shared" si="6"/>
        <v>1539800</v>
      </c>
      <c r="L56" s="106"/>
      <c r="M56" s="114">
        <f t="shared" si="2"/>
        <v>0</v>
      </c>
      <c r="N56" s="112" t="s">
        <v>557</v>
      </c>
      <c r="O56" s="104">
        <f t="shared" si="7"/>
        <v>1803800</v>
      </c>
      <c r="P56" s="106"/>
      <c r="Q56" s="107">
        <f t="shared" si="3"/>
        <v>0</v>
      </c>
    </row>
    <row r="57" spans="2:17">
      <c r="B57" s="103" t="s">
        <v>378</v>
      </c>
      <c r="C57" s="104">
        <f t="shared" si="4"/>
        <v>1016200</v>
      </c>
      <c r="D57" s="105">
        <f>D52+(H4-D52)*5/12</f>
        <v>1.0511166666666667</v>
      </c>
      <c r="E57" s="110">
        <f t="shared" si="0"/>
        <v>1068144.7566666666</v>
      </c>
      <c r="F57" s="112" t="s">
        <v>438</v>
      </c>
      <c r="G57" s="104">
        <f t="shared" si="5"/>
        <v>1280200</v>
      </c>
      <c r="H57" s="105">
        <f>H52+(L4-H52)*5/12</f>
        <v>1.0683583333333333</v>
      </c>
      <c r="I57" s="113">
        <f t="shared" si="1"/>
        <v>1367712.3383333334</v>
      </c>
      <c r="J57" s="111" t="s">
        <v>498</v>
      </c>
      <c r="K57" s="104">
        <f t="shared" si="6"/>
        <v>1544200</v>
      </c>
      <c r="L57" s="106"/>
      <c r="M57" s="114">
        <f t="shared" si="2"/>
        <v>0</v>
      </c>
      <c r="N57" s="112" t="s">
        <v>558</v>
      </c>
      <c r="O57" s="104">
        <f t="shared" si="7"/>
        <v>1808200</v>
      </c>
      <c r="P57" s="106"/>
      <c r="Q57" s="107">
        <f t="shared" si="3"/>
        <v>0</v>
      </c>
    </row>
    <row r="58" spans="2:17">
      <c r="B58" s="103" t="s">
        <v>379</v>
      </c>
      <c r="C58" s="104">
        <f t="shared" si="4"/>
        <v>1020600</v>
      </c>
      <c r="D58" s="105">
        <f>D52+(H4-D52)*6/12</f>
        <v>1.0514000000000001</v>
      </c>
      <c r="E58" s="110">
        <f t="shared" si="0"/>
        <v>1073058.8400000001</v>
      </c>
      <c r="F58" s="112" t="s">
        <v>439</v>
      </c>
      <c r="G58" s="104">
        <f t="shared" si="5"/>
        <v>1284600</v>
      </c>
      <c r="H58" s="105">
        <f>H52+(L4-H52)*6/12</f>
        <v>1.0686499999999999</v>
      </c>
      <c r="I58" s="113">
        <f t="shared" si="1"/>
        <v>1372787.7899999998</v>
      </c>
      <c r="J58" s="111" t="s">
        <v>499</v>
      </c>
      <c r="K58" s="104">
        <f t="shared" si="6"/>
        <v>1548600</v>
      </c>
      <c r="L58" s="106"/>
      <c r="M58" s="114">
        <f t="shared" si="2"/>
        <v>0</v>
      </c>
      <c r="N58" s="112" t="s">
        <v>559</v>
      </c>
      <c r="O58" s="104">
        <f t="shared" si="7"/>
        <v>1812600</v>
      </c>
      <c r="P58" s="106"/>
      <c r="Q58" s="107">
        <f t="shared" si="3"/>
        <v>0</v>
      </c>
    </row>
    <row r="59" spans="2:17">
      <c r="B59" s="103" t="s">
        <v>380</v>
      </c>
      <c r="C59" s="104">
        <f t="shared" si="4"/>
        <v>1025000</v>
      </c>
      <c r="D59" s="105">
        <f>D52+(H4-D52)*7/12</f>
        <v>1.0516833333333333</v>
      </c>
      <c r="E59" s="110">
        <f t="shared" si="0"/>
        <v>1077975.4166666667</v>
      </c>
      <c r="F59" s="112" t="s">
        <v>440</v>
      </c>
      <c r="G59" s="104">
        <f t="shared" si="5"/>
        <v>1289000</v>
      </c>
      <c r="H59" s="105">
        <f>H52+(L4-H52)*7/12</f>
        <v>1.0689416666666667</v>
      </c>
      <c r="I59" s="113">
        <f t="shared" si="1"/>
        <v>1377865.8083333333</v>
      </c>
      <c r="J59" s="111" t="s">
        <v>500</v>
      </c>
      <c r="K59" s="104">
        <f t="shared" si="6"/>
        <v>1553000</v>
      </c>
      <c r="L59" s="106"/>
      <c r="M59" s="114">
        <f t="shared" si="2"/>
        <v>0</v>
      </c>
      <c r="N59" s="112" t="s">
        <v>560</v>
      </c>
      <c r="O59" s="104">
        <f t="shared" si="7"/>
        <v>1817000</v>
      </c>
      <c r="P59" s="106"/>
      <c r="Q59" s="107">
        <f t="shared" si="3"/>
        <v>0</v>
      </c>
    </row>
    <row r="60" spans="2:17">
      <c r="B60" s="103" t="s">
        <v>381</v>
      </c>
      <c r="C60" s="104">
        <f t="shared" si="4"/>
        <v>1029400</v>
      </c>
      <c r="D60" s="105">
        <f>D52+(H4-D52)*8/12</f>
        <v>1.0519666666666667</v>
      </c>
      <c r="E60" s="110">
        <f t="shared" si="0"/>
        <v>1082894.4866666668</v>
      </c>
      <c r="F60" s="112" t="s">
        <v>441</v>
      </c>
      <c r="G60" s="104">
        <f t="shared" si="5"/>
        <v>1293400</v>
      </c>
      <c r="H60" s="105">
        <f>H52+(L4-H52)*8/12</f>
        <v>1.0692333333333333</v>
      </c>
      <c r="I60" s="113">
        <f t="shared" si="1"/>
        <v>1382946.3933333333</v>
      </c>
      <c r="J60" s="111" t="s">
        <v>501</v>
      </c>
      <c r="K60" s="104">
        <f t="shared" si="6"/>
        <v>1557400</v>
      </c>
      <c r="L60" s="106"/>
      <c r="M60" s="114">
        <f t="shared" si="2"/>
        <v>0</v>
      </c>
      <c r="N60" s="112" t="s">
        <v>561</v>
      </c>
      <c r="O60" s="104">
        <f t="shared" si="7"/>
        <v>1821400</v>
      </c>
      <c r="P60" s="106"/>
      <c r="Q60" s="107">
        <f t="shared" si="3"/>
        <v>0</v>
      </c>
    </row>
    <row r="61" spans="2:17">
      <c r="B61" s="103" t="s">
        <v>382</v>
      </c>
      <c r="C61" s="104">
        <f t="shared" si="4"/>
        <v>1033800</v>
      </c>
      <c r="D61" s="105">
        <f>D52+(H4-D52)*9/12</f>
        <v>1.0522499999999999</v>
      </c>
      <c r="E61" s="110">
        <f t="shared" si="0"/>
        <v>1087816.0499999998</v>
      </c>
      <c r="F61" s="112" t="s">
        <v>442</v>
      </c>
      <c r="G61" s="104">
        <f t="shared" si="5"/>
        <v>1297800</v>
      </c>
      <c r="H61" s="105">
        <f>H52+(L4-H52)*9/12</f>
        <v>1.0695250000000001</v>
      </c>
      <c r="I61" s="113">
        <f t="shared" si="1"/>
        <v>1388029.5450000002</v>
      </c>
      <c r="J61" s="111" t="s">
        <v>502</v>
      </c>
      <c r="K61" s="104">
        <f t="shared" si="6"/>
        <v>1561800</v>
      </c>
      <c r="L61" s="106"/>
      <c r="M61" s="114">
        <f t="shared" si="2"/>
        <v>0</v>
      </c>
      <c r="N61" s="112" t="s">
        <v>562</v>
      </c>
      <c r="O61" s="104">
        <f t="shared" si="7"/>
        <v>1825800</v>
      </c>
      <c r="P61" s="106"/>
      <c r="Q61" s="107">
        <f t="shared" si="3"/>
        <v>0</v>
      </c>
    </row>
    <row r="62" spans="2:17">
      <c r="B62" s="103" t="s">
        <v>383</v>
      </c>
      <c r="C62" s="104">
        <f t="shared" si="4"/>
        <v>1038200</v>
      </c>
      <c r="D62" s="105">
        <f>D52+(H4-D52)*10/12</f>
        <v>1.0525333333333333</v>
      </c>
      <c r="E62" s="110">
        <f t="shared" si="0"/>
        <v>1092740.1066666667</v>
      </c>
      <c r="F62" s="112" t="s">
        <v>443</v>
      </c>
      <c r="G62" s="104">
        <f t="shared" si="5"/>
        <v>1302200</v>
      </c>
      <c r="H62" s="105">
        <f>H52+(L4-H52)*10/12</f>
        <v>1.0698166666666666</v>
      </c>
      <c r="I62" s="113">
        <f t="shared" si="1"/>
        <v>1393115.2633333332</v>
      </c>
      <c r="J62" s="111" t="s">
        <v>503</v>
      </c>
      <c r="K62" s="104">
        <f t="shared" si="6"/>
        <v>1566200</v>
      </c>
      <c r="L62" s="106"/>
      <c r="M62" s="114">
        <f t="shared" si="2"/>
        <v>0</v>
      </c>
      <c r="N62" s="112" t="s">
        <v>563</v>
      </c>
      <c r="O62" s="104">
        <f t="shared" si="7"/>
        <v>1830200</v>
      </c>
      <c r="P62" s="106"/>
      <c r="Q62" s="107">
        <f t="shared" si="3"/>
        <v>0</v>
      </c>
    </row>
    <row r="63" spans="2:17">
      <c r="B63" s="103" t="s">
        <v>384</v>
      </c>
      <c r="C63" s="104">
        <f t="shared" si="4"/>
        <v>1042600</v>
      </c>
      <c r="D63" s="105">
        <f>D52+(H4-D52)*11/12</f>
        <v>1.0528166666666665</v>
      </c>
      <c r="E63" s="110">
        <f t="shared" si="0"/>
        <v>1097666.6566666665</v>
      </c>
      <c r="F63" s="112" t="s">
        <v>444</v>
      </c>
      <c r="G63" s="104">
        <f t="shared" si="5"/>
        <v>1306600</v>
      </c>
      <c r="H63" s="105">
        <f>H52+(L4-H52)*11/12</f>
        <v>1.0701083333333334</v>
      </c>
      <c r="I63" s="113">
        <f t="shared" si="1"/>
        <v>1398203.5483333336</v>
      </c>
      <c r="J63" s="111" t="s">
        <v>504</v>
      </c>
      <c r="K63" s="104">
        <f t="shared" si="6"/>
        <v>1570600</v>
      </c>
      <c r="L63" s="106"/>
      <c r="M63" s="114">
        <f t="shared" si="2"/>
        <v>0</v>
      </c>
      <c r="N63" s="112" t="s">
        <v>564</v>
      </c>
      <c r="O63" s="104">
        <f t="shared" si="7"/>
        <v>1834600</v>
      </c>
      <c r="P63" s="106"/>
      <c r="Q63" s="107">
        <f t="shared" si="3"/>
        <v>0</v>
      </c>
    </row>
    <row r="64" spans="2:17">
      <c r="H64" s="102"/>
      <c r="N64" s="233" t="s">
        <v>565</v>
      </c>
      <c r="O64" s="234">
        <f t="shared" si="7"/>
        <v>1839000</v>
      </c>
      <c r="P64" s="235">
        <f>P40+(P52-P40)*24/12</f>
        <v>1.1054000000000006</v>
      </c>
      <c r="Q64" s="234">
        <f>O64*P64</f>
        <v>2032830.600000001</v>
      </c>
    </row>
  </sheetData>
  <phoneticPr fontId="2"/>
  <pageMargins left="0.7" right="0.7" top="0.75" bottom="0.75" header="0.3" footer="0.3"/>
  <pageSetup paperSize="8"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3</vt:i4>
      </vt:variant>
    </vt:vector>
  </HeadingPairs>
  <TitlesOfParts>
    <vt:vector size="9" baseType="lpstr">
      <vt:lpstr>Ｈ27年度末退職金</vt:lpstr>
      <vt:lpstr>Ｈ28年度末退職金</vt:lpstr>
      <vt:lpstr>Ｈ29年度末退職金</vt:lpstr>
      <vt:lpstr>H28-H29対比</vt:lpstr>
      <vt:lpstr>退職金推移0年～20年</vt:lpstr>
      <vt:lpstr>退職金推移20年～40年</vt:lpstr>
      <vt:lpstr>Ｈ27年度末退職金!Print_Area</vt:lpstr>
      <vt:lpstr>Ｈ28年度末退職金!Print_Area</vt:lpstr>
      <vt:lpstr>Ｈ29年度末退職金!Print_Area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石川大輔</dc:creator>
  <cp:lastModifiedBy>総務部</cp:lastModifiedBy>
  <cp:lastPrinted>2016-12-26T01:54:57Z</cp:lastPrinted>
  <dcterms:created xsi:type="dcterms:W3CDTF">2014-02-19T23:27:11Z</dcterms:created>
  <dcterms:modified xsi:type="dcterms:W3CDTF">2016-12-26T04:05:08Z</dcterms:modified>
</cp:coreProperties>
</file>